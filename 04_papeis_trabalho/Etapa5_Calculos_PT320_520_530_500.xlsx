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f0af202b2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ef70a2e1f7674132"/>
    <x:sheet xmlns:r="http://schemas.openxmlformats.org/officeDocument/2006/relationships" name="PT 320" sheetId="2" r:id="R9ca944ab24224b4f"/>
    <x:sheet xmlns:r="http://schemas.openxmlformats.org/officeDocument/2006/relationships" name="PT 520" sheetId="3" r:id="R7ae956a391974e76"/>
    <x:sheet xmlns:r="http://schemas.openxmlformats.org/officeDocument/2006/relationships" name="PT 530" sheetId="4" r:id="R8e175823052f4d8d"/>
    <x:sheet xmlns:r="http://schemas.openxmlformats.org/officeDocument/2006/relationships" name="PT 500" sheetId="5" r:id="Ra28d1ea4f3314561"/>
    <x:sheet xmlns:r="http://schemas.openxmlformats.org/officeDocument/2006/relationships" name="Amostras 400" sheetId="6" r:id="R9bcd968aa8ea4556"/>
    <x:sheet xmlns:r="http://schemas.openxmlformats.org/officeDocument/2006/relationships" name="Fontes e limites" sheetId="7" r:id="R14360fe58f01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41ef0f97e422c" /><Relationship Type="http://schemas.openxmlformats.org/officeDocument/2006/relationships/theme" Target="/xl/theme/theme1.xml" Id="R90b2aabffe1a4e81" /><Relationship Type="http://schemas.openxmlformats.org/officeDocument/2006/relationships/sharedStrings" Target="/xl/sharedStrings.xml" Id="R5592085ca65d45cb" /><Relationship Type="http://schemas.openxmlformats.org/officeDocument/2006/relationships/worksheet" Target="/xl/worksheets/sheet1.xml" Id="Ref70a2e1f7674132" /><Relationship Type="http://schemas.openxmlformats.org/officeDocument/2006/relationships/worksheet" Target="/xl/worksheets/sheet2.xml" Id="R9ca944ab24224b4f" /><Relationship Type="http://schemas.openxmlformats.org/officeDocument/2006/relationships/worksheet" Target="/xl/worksheets/sheet3.xml" Id="R7ae956a391974e76" /><Relationship Type="http://schemas.openxmlformats.org/officeDocument/2006/relationships/worksheet" Target="/xl/worksheets/sheet4.xml" Id="R8e175823052f4d8d" /><Relationship Type="http://schemas.openxmlformats.org/officeDocument/2006/relationships/worksheet" Target="/xl/worksheets/sheet5.xml" Id="Ra28d1ea4f3314561" /><Relationship Type="http://schemas.openxmlformats.org/officeDocument/2006/relationships/worksheet" Target="/xl/worksheets/sheet6.xml" Id="R9bcd968aa8ea4556" /><Relationship Type="http://schemas.openxmlformats.org/officeDocument/2006/relationships/worksheet" Target="/xl/worksheets/sheet7.xml" Id="R14360fe58f0147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Parâmetro</x:v>
      </x:c>
      <x:c r="B1" s="6" t="str">
        <x:v>Valor (R$)</x:v>
      </x:c>
      <x:c r="C1" s="6" t="str">
        <x:v>Fundamento / observação</x:v>
      </x:c>
      <x:c r="D1" s="6"/>
      <x:c r="E1" s="6"/>
      <x:c r="F1" s="6"/>
      <x:c r="G1" s="6"/>
      <x:c r="H1" s="6"/>
    </x:row>
    <x:row r="2">
      <x:c r="A2" t="str">
        <x:v>Receita líquida consolidada 2025</x:v>
      </x:c>
      <x:c r="B2" t="n">
        <x:v>18025121000</x:v>
      </x:c>
      <x:c r="C2" t="str">
        <x:v>DFP 2025, página impressa 13</x:v>
      </x:c>
    </x:row>
    <x:row r="3">
      <x:c r="A3" t="str">
        <x:v>Ativo total consolidado 2025</x:v>
      </x:c>
      <x:c r="B3" t="n">
        <x:v>33553574000</x:v>
      </x:c>
      <x:c r="C3" t="str">
        <x:v>DFP 2025, página impressa 11</x:v>
      </x:c>
    </x:row>
    <x:row r="4">
      <x:c r="A4" t="str">
        <x:v>Imobilizado consolidado 2025</x:v>
      </x:c>
      <x:c r="B4" t="n">
        <x:v>10994169000</x:v>
      </x:c>
      <x:c r="C4" t="str">
        <x:v>DFP 2025, página impressa 11</x:v>
      </x:c>
    </x:row>
    <x:row r="5">
      <x:c r="A5" t="str">
        <x:v>Imobilizado consolidado 2024</x:v>
      </x:c>
      <x:c r="B5" t="n">
        <x:v>9704951000</x:v>
      </x:c>
      <x:c r="C5" t="str">
        <x:v>DFP 2025, página impressa 11</x:v>
      </x:c>
    </x:row>
    <x:row r="6">
      <x:c r="A6" t="str">
        <x:v>Taxa materialidade global</x:v>
      </x:c>
      <x:c r="B6" t="n">
        <x:v>0.005</x:v>
      </x:c>
      <x:c r="C6" t="str">
        <x:v>Hipótese acadêmica; julgamento profissional</x:v>
      </x:c>
    </x:row>
    <x:row r="7">
      <x:c r="A7" t="str">
        <x:v>Fator materialidade execução</x:v>
      </x:c>
      <x:c r="B7" t="n">
        <x:v>0.75</x:v>
      </x:c>
      <x:c r="C7" t="str">
        <x:v>Hipótese acadêmica; não é percentual normativo</x:v>
      </x:c>
    </x:row>
    <x:row r="8">
      <x:c r="A8" t="str">
        <x:v>Fator diferença claramente trivial</x:v>
      </x:c>
      <x:c r="B8" t="n">
        <x:v>0.05</x:v>
      </x:c>
      <x:c r="C8" t="str">
        <x:v>Hipótese acadêmica; não é percentual normativo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Indicador</x:v>
      </x:c>
      <x:c r="B1" s="6" t="str">
        <x:v>Valor</x:v>
      </x:c>
      <x:c r="C1" s="6" t="str">
        <x:v>Natureza / base</x:v>
      </x:c>
      <x:c r="D1" s="6"/>
      <x:c r="E1" s="6"/>
      <x:c r="F1" s="6"/>
      <x:c r="G1" s="6"/>
      <x:c r="H1" s="6"/>
    </x:row>
    <x:row r="2">
      <x:c r="A2" t="str">
        <x:v>Materialidade global</x:v>
      </x:c>
      <x:c r="B2" t="n">
        <x:f>Premissas!B2*Premissas!B6</x:f>
        <x:v>90125605</x:v>
      </x:c>
      <x:c r="C2" t="str">
        <x:v>Receita 2025 × 0,5%</x:v>
      </x:c>
    </x:row>
    <x:row r="3">
      <x:c r="A3" t="str">
        <x:v>Materialidade de execução</x:v>
      </x:c>
      <x:c r="B3" t="n">
        <x:f>B2*Premissas!B7</x:f>
        <x:v>67594203.75</x:v>
      </x:c>
      <x:c r="C3" t="str">
        <x:v>Materialidade global × 75%</x:v>
      </x:c>
    </x:row>
    <x:row r="4">
      <x:c r="A4" t="str">
        <x:v>Limiar claramente trivial</x:v>
      </x:c>
      <x:c r="B4" t="n">
        <x:f>B2*Premissas!B8</x:f>
        <x:v>4506280.25</x:v>
      </x:c>
      <x:c r="C4" t="str">
        <x:v>Materialidade global × 5%</x:v>
      </x:c>
    </x:row>
    <x:row r="5">
      <x:c r="A5" t="str">
        <x:v>Imobilizado / materialidade</x:v>
      </x:c>
      <x:c r="B5" t="n">
        <x:f>Premissas!B4/B2</x:f>
        <x:v>121.98718666021715</x:v>
      </x:c>
      <x:c r="C5" t="str">
        <x:v>Razão, não risco medido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Conta / indicador</x:v>
      </x:c>
      <x:c r="B1" s="6" t="str">
        <x:v>2024 R$</x:v>
      </x:c>
      <x:c r="C1" s="6" t="str">
        <x:v>2025 R$</x:v>
      </x:c>
      <x:c r="D1" s="6" t="str">
        <x:v>Variação R$</x:v>
      </x:c>
      <x:c r="E1" s="6" t="str">
        <x:v>Variação %</x:v>
      </x:c>
      <x:c r="F1" s="6" t="str">
        <x:v>Referência</x:v>
      </x:c>
      <x:c r="G1" s="6"/>
      <x:c r="H1" s="6"/>
    </x:row>
    <x:row r="2">
      <x:c r="A2" t="str">
        <x:v>Ativo total</x:v>
      </x:c>
      <x:c r="B2" t="n">
        <x:v>36390919000</x:v>
      </x:c>
      <x:c r="C2" t="n">
        <x:v>33553574000</x:v>
      </x:c>
      <x:c r="D2" t="n">
        <x:f>C2-B2</x:f>
        <x:v>-2837345000</x:v>
      </x:c>
      <x:c r="E2" s="8" t="n">
        <x:f>IF(B2=0,0,D2/B2)</x:f>
        <x:v>-0.07796848988617187</x:v>
      </x:c>
      <x:c r="F2" t="str">
        <x:v>DFP, p. impressa 11</x:v>
      </x:c>
    </x:row>
    <x:row r="3">
      <x:c r="A3" t="str">
        <x:v>Imobilizado</x:v>
      </x:c>
      <x:c r="B3" t="n">
        <x:v>9704951000</x:v>
      </x:c>
      <x:c r="C3" t="n">
        <x:v>10994169000</x:v>
      </x:c>
      <x:c r="D3" t="n">
        <x:f>C3-B3</x:f>
        <x:v>1289218000</x:v>
      </x:c>
      <x:c r="E3" s="8" t="n">
        <x:f>IF(B3=0,0,D3/B3)</x:f>
        <x:v>0.13284126833819151</x:v>
      </x:c>
      <x:c r="F3" t="str">
        <x:v>DFP, p. impressa 11</x:v>
      </x:c>
    </x:row>
    <x:row r="4">
      <x:c r="A4" t="str">
        <x:v>Caixa e equivalentes</x:v>
      </x:c>
      <x:c r="B4" t="n">
        <x:v>15185928000</x:v>
      </x:c>
      <x:c r="C4" t="n">
        <x:v>8871892000</x:v>
      </x:c>
      <x:c r="D4" t="n">
        <x:f>C4-B4</x:f>
        <x:v>-6314036000</x:v>
      </x:c>
      <x:c r="E4" s="8" t="n">
        <x:f>IF(B4=0,0,D4/B4)</x:f>
        <x:v>-0.4157820318916302</x:v>
      </x:c>
      <x:c r="F4" t="str">
        <x:v>DFP, p. impressa 11</x:v>
      </x:c>
    </x:row>
    <x:row r="5">
      <x:c r="A5" t="str">
        <x:v>Contas a receber</x:v>
      </x:c>
      <x:c r="B5" t="n">
        <x:v>1506580000</x:v>
      </x:c>
      <x:c r="C5" t="n">
        <x:v>1914795000</x:v>
      </x:c>
      <x:c r="D5" t="n">
        <x:f>C5-B5</x:f>
        <x:v>408215000</x:v>
      </x:c>
      <x:c r="E5" s="8" t="n">
        <x:f>IF(B5=0,0,D5/B5)</x:f>
        <x:v>0.2709547451844575</x:v>
      </x:c>
      <x:c r="F5" t="str">
        <x:v>DFP, p. impressa 11</x:v>
      </x:c>
    </x:row>
    <x:row r="6">
      <x:c r="A6" t="str">
        <x:v>Receita líquida</x:v>
      </x:c>
      <x:c r="B6" t="n">
        <x:v>16496317000</x:v>
      </x:c>
      <x:c r="C6" t="n">
        <x:v>18025121000</x:v>
      </x:c>
      <x:c r="D6" t="n">
        <x:f>C6-B6</x:f>
        <x:v>1528804000</x:v>
      </x:c>
      <x:c r="E6" s="8" t="n">
        <x:f>IF(B6=0,0,D6/B6)</x:f>
        <x:v>0.09267547416796125</x:v>
      </x:c>
      <x:c r="F6" t="str">
        <x:v>DFP, p. impressa 13</x:v>
      </x:c>
    </x:row>
    <x:row r="7">
      <x:c r="A7" t="str">
        <x:v>Lucro líquido consolidado</x:v>
      </x:c>
      <x:c r="B7" t="n">
        <x:v>4527718000</x:v>
      </x:c>
      <x:c r="C7" t="n">
        <x:v>1649159000</x:v>
      </x:c>
      <x:c r="D7" t="n">
        <x:f>C7-B7</x:f>
        <x:v>-2878559000</x:v>
      </x:c>
      <x:c r="E7" s="8" t="n">
        <x:f>IF(B7=0,0,D7/B7)</x:f>
        <x:v>-0.6357637556049206</x:v>
      </x:c>
      <x:c r="F7" t="str">
        <x:v>DFP, p. impressa 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Parâmetro</x:v>
      </x:c>
      <x:c r="B1" s="6" t="str">
        <x:v>Valor</x:v>
      </x:c>
      <x:c r="C1" s="6" t="str">
        <x:v>Observação</x:v>
      </x:c>
      <x:c r="D1" s="6"/>
      <x:c r="E1" s="6"/>
      <x:c r="F1" s="6"/>
      <x:c r="G1" s="6"/>
      <x:c r="H1" s="6"/>
    </x:row>
    <x:row r="2">
      <x:c r="A2" t="str">
        <x:v>População simulada</x:v>
      </x:c>
      <x:c r="B2" t="n">
        <x:v>500000</x:v>
      </x:c>
      <x:c r="C2" t="str">
        <x:v>Não é cadastro da companhia</x:v>
      </x:c>
    </x:row>
    <x:row r="3">
      <x:c r="A3" t="str">
        <x:v>Amostra dirigida</x:v>
      </x:c>
      <x:c r="B3" t="n">
        <x:v>280</x:v>
      </x:c>
      <x:c r="C3" t="str">
        <x:v>Seleção intencional de exceções sintéticas</x:v>
      </x:c>
    </x:row>
    <x:row r="4">
      <x:c r="A4" t="str">
        <x:v>Amostra aleatória</x:v>
      </x:c>
      <x:c r="B4" t="n">
        <x:v>120</x:v>
      </x:c>
      <x:c r="C4" t="str">
        <x:v>Não extrapolar sem desenho amostral adequado</x:v>
      </x:c>
    </x:row>
    <x:row r="5">
      <x:c r="A5" t="str">
        <x:v>Exceções inseridas</x:v>
      </x:c>
      <x:c r="B5" t="n">
        <x:v>280</x:v>
      </x:c>
      <x:c r="C5" t="str">
        <x:v>Distribuídas artificialmente</x:v>
      </x:c>
    </x:row>
    <x:row r="6">
      <x:c r="A6" t="str">
        <x:v>Taxa de exceção artificial</x:v>
      </x:c>
      <x:c r="B6" t="n">
        <x:v>0.00056</x:v>
      </x:c>
      <x:c r="C6" t="str">
        <x:v>Não representa taxa real de erro</x:v>
      </x:c>
    </x:row>
    <x:row r="7">
      <x:c r="A7" t="str">
        <x:v>Soma de saldos conciliados</x:v>
      </x:c>
      <x:c r="B7" t="n">
        <x:v>10994169000</x:v>
      </x:c>
      <x:c r="C7" t="str">
        <x:v>Ajuste matemático de base simulada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Evidência</x:v>
      </x:c>
      <x:c r="B1" s="6" t="str">
        <x:v>Classificação</x:v>
      </x:c>
      <x:c r="C1" s="6" t="str">
        <x:v>Alcance / limitação</x:v>
      </x:c>
      <x:c r="D1" s="6"/>
      <x:c r="E1" s="6"/>
      <x:c r="F1" s="6"/>
      <x:c r="G1" s="6"/>
      <x:c r="H1" s="6"/>
    </x:row>
    <x:row r="2">
      <x:c r="A2" t="str">
        <x:v>DFP 2025, v.2</x:v>
      </x:c>
      <x:c r="B2" t="str">
        <x:v>PÚBLICA</x:v>
      </x:c>
      <x:c r="C2" t="str">
        <x:v>Suporta saldos agregados, não existência de ativos individualizados</x:v>
      </x:c>
    </x:row>
    <x:row r="3">
      <x:c r="A3" t="str">
        <x:v>Relatório auditor independente</x:v>
      </x:c>
      <x:c r="B3" t="str">
        <x:v>PÚBLICA</x:v>
      </x:c>
      <x:c r="C3" t="str">
        <x:v>Opinião do auditor contratado; não é opinião do aluno</x:v>
      </x:c>
    </x:row>
    <x:row r="4">
      <x:c r="A4" t="str">
        <x:v>Base 500 mil linhas</x:v>
      </x:c>
      <x:c r="B4" t="str">
        <x:v>SIMULADA</x:v>
      </x:c>
      <x:c r="C4" t="str">
        <x:v>Dados sintéticos, sem vínculo com ERP real</x:v>
      </x:c>
    </x:row>
    <x:row r="5">
      <x:c r="A5" t="str">
        <x:v>Amostras 400 linhas</x:v>
      </x:c>
      <x:c r="B5" t="str">
        <x:v>SIMULADA</x:v>
      </x:c>
      <x:c r="C5" t="str">
        <x:v>Permitem demonstrar procedimentos, não concluir sobre controles reais</x:v>
      </x:c>
    </x:row>
    <x:row r="6">
      <x:c r="A6" t="str">
        <x:v>Confirmações / inspeção física</x:v>
      </x:c>
      <x:c r="B6" t="str">
        <x:v>PLANEJADA</x:v>
      </x:c>
      <x:c r="C6" t="str">
        <x:v>Sem acesso à entidade; não executada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3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13" max="13" width="24" hidden="0" customWidth="1"/>
  </x:cols>
  <x:sheetData>
    <x:row r="1">
      <x:c r="A1" s="6" t="str">
        <x:v>Seleção</x:v>
      </x:c>
      <x:c r="B1" s="6" t="str">
        <x:v>ID ativo</x:v>
      </x:c>
      <x:c r="C1" s="6" t="str">
        <x:v>Categoria</x:v>
      </x:c>
      <x:c r="D1" s="6" t="str">
        <x:v>Unidade</x:v>
      </x:c>
      <x:c r="E1" s="6" t="str">
        <x:v>Data aquisição</x:v>
      </x:c>
      <x:c r="F1" s="6" t="str">
        <x:v>Data uso</x:v>
      </x:c>
      <x:c r="G1" s="6" t="str">
        <x:v>Status</x:v>
      </x:c>
      <x:c r="H1" s="6" t="str">
        <x:v>Responsável</x:v>
      </x:c>
      <x:c r="I1" t="str">
        <x:v>Documento</x:v>
      </x:c>
      <x:c r="J1" t="str">
        <x:v>Custo R$</x:v>
      </x:c>
      <x:c r="K1" t="str">
        <x:v>Deprec. R$</x:v>
      </x:c>
      <x:c r="L1" t="str">
        <x:v>Líquido R$</x:v>
      </x:c>
      <x:c r="M1" t="str">
        <x:v>Exceção</x:v>
      </x:c>
      <x:c r="N1" t="str">
        <x:v>Natureza</x:v>
      </x:c>
    </x:row>
    <x:row r="2">
      <x:c r="A2" t="str">
        <x:v>DIRIGIDA_EXCECAO</x:v>
      </x:c>
      <x:c r="B2" t="str">
        <x:v>ATV-0000501</x:v>
      </x:c>
      <x:c r="C2" t="str">
        <x:v>Veículos e equipamentos móveis</x:v>
      </x:c>
      <x:c r="D2" t="str">
        <x:v>Congonhas/MG</x:v>
      </x:c>
      <x:c r="E2" t="str">
        <x:v>2024-09-12</x:v>
      </x:c>
      <x:c r="F2" t="str">
        <x:v>2024-10-17</x:v>
      </x:c>
      <x:c r="G2" t="str">
        <x:v>ATIVO</x:v>
      </x:c>
      <x:c r="H2" t="str">
        <x:v>RESP-001</x:v>
      </x:c>
      <x:c r="I2" t="str"/>
      <x:c r="J2" t="n">
        <x:v>24299.19</x:v>
      </x:c>
      <x:c r="K2" t="n">
        <x:v>8312.88</x:v>
      </x:c>
      <x:c r="L2" t="n">
        <x:v>15986.31</x:v>
      </x:c>
      <x:c r="M2" t="str">
        <x:v>SEM_DOCUMENTO</x:v>
      </x:c>
      <x:c r="N2" t="str">
        <x:v>SIMULADO</x:v>
      </x:c>
    </x:row>
    <x:row r="3">
      <x:c r="A3" t="str">
        <x:v>DIRIGIDA_EXCECAO</x:v>
      </x:c>
      <x:c r="B3" t="str">
        <x:v>ATV-0000502</x:v>
      </x:c>
      <x:c r="C3" t="str">
        <x:v>Edificações</x:v>
      </x:c>
      <x:c r="D3" t="str">
        <x:v>Arcos/MG</x:v>
      </x:c>
      <x:c r="E3" t="str">
        <x:v>2012-11-19</x:v>
      </x:c>
      <x:c r="F3" t="str">
        <x:v>2013-05-13</x:v>
      </x:c>
      <x:c r="G3" t="str">
        <x:v>ATIVO</x:v>
      </x:c>
      <x:c r="H3" t="str">
        <x:v>RESP-002</x:v>
      </x:c>
      <x:c r="I3" t="str"/>
      <x:c r="J3" t="n">
        <x:v>73264.81</x:v>
      </x:c>
      <x:c r="K3" t="n">
        <x:v>30167.86</x:v>
      </x:c>
      <x:c r="L3" t="n">
        <x:v>43096.95</x:v>
      </x:c>
      <x:c r="M3" t="str">
        <x:v>SEM_DOCUMENTO</x:v>
      </x:c>
      <x:c r="N3" t="str">
        <x:v>SIMULADO</x:v>
      </x:c>
    </x:row>
    <x:row r="4">
      <x:c r="A4" t="str">
        <x:v>DIRIGIDA_EXCECAO</x:v>
      </x:c>
      <x:c r="B4" t="str">
        <x:v>ATV-0000503</x:v>
      </x:c>
      <x:c r="C4" t="str">
        <x:v>Infraestrutura de mina</x:v>
      </x:c>
      <x:c r="D4" t="str">
        <x:v>Operação logística</x:v>
      </x:c>
      <x:c r="E4" t="str">
        <x:v>2025-01-29</x:v>
      </x:c>
      <x:c r="F4" t="str">
        <x:v>2025-04-19</x:v>
      </x:c>
      <x:c r="G4" t="str">
        <x:v>ATIVO</x:v>
      </x:c>
      <x:c r="H4" t="str">
        <x:v>RESP-003</x:v>
      </x:c>
      <x:c r="I4" t="str"/>
      <x:c r="J4" t="n">
        <x:v>28553.99</x:v>
      </x:c>
      <x:c r="K4" t="n">
        <x:v>17312.26</x:v>
      </x:c>
      <x:c r="L4" t="n">
        <x:v>11241.73</x:v>
      </x:c>
      <x:c r="M4" t="str">
        <x:v>SEM_DOCUMENTO</x:v>
      </x:c>
      <x:c r="N4" t="str">
        <x:v>SIMULADO</x:v>
      </x:c>
    </x:row>
    <x:row r="5">
      <x:c r="A5" t="str">
        <x:v>DIRIGIDA_EXCECAO</x:v>
      </x:c>
      <x:c r="B5" t="str">
        <x:v>ATV-0000504</x:v>
      </x:c>
      <x:c r="C5" t="str">
        <x:v>Direito de uso</x:v>
      </x:c>
      <x:c r="D5" t="str">
        <x:v>Outras unidades</x:v>
      </x:c>
      <x:c r="E5" t="str">
        <x:v>2020-07-11</x:v>
      </x:c>
      <x:c r="F5" t="str">
        <x:v>2020-08-21</x:v>
      </x:c>
      <x:c r="G5" t="str">
        <x:v>ATIVO</x:v>
      </x:c>
      <x:c r="H5" t="str">
        <x:v>RESP-004</x:v>
      </x:c>
      <x:c r="I5" t="str"/>
      <x:c r="J5" t="n">
        <x:v>1797.02</x:v>
      </x:c>
      <x:c r="K5" t="n">
        <x:v>531.51</x:v>
      </x:c>
      <x:c r="L5" t="n">
        <x:v>1265.51</x:v>
      </x:c>
      <x:c r="M5" t="str">
        <x:v>SEM_DOCUMENTO</x:v>
      </x:c>
      <x:c r="N5" t="str">
        <x:v>SIMULADO</x:v>
      </x:c>
    </x:row>
    <x:row r="6">
      <x:c r="A6" t="str">
        <x:v>DIRIGIDA_EXCECAO</x:v>
      </x:c>
      <x:c r="B6" t="str">
        <x:v>ATV-0000505</x:v>
      </x:c>
      <x:c r="C6" t="str">
        <x:v>Máquinas e equipamentos</x:v>
      </x:c>
      <x:c r="D6" t="str">
        <x:v>Congonhas/MG</x:v>
      </x:c>
      <x:c r="E6" t="str">
        <x:v>2025-10-30</x:v>
      </x:c>
      <x:c r="F6" t="str">
        <x:v>2026-03-14</x:v>
      </x:c>
      <x:c r="G6" t="str">
        <x:v>ATIVO</x:v>
      </x:c>
      <x:c r="H6" t="str">
        <x:v>RESP-005</x:v>
      </x:c>
      <x:c r="I6" t="str"/>
      <x:c r="J6" t="n">
        <x:v>41218.45</x:v>
      </x:c>
      <x:c r="K6" t="n">
        <x:v>18191.38</x:v>
      </x:c>
      <x:c r="L6" t="n">
        <x:v>23027.07</x:v>
      </x:c>
      <x:c r="M6" t="str">
        <x:v>SEM_DOCUMENTO</x:v>
      </x:c>
      <x:c r="N6" t="str">
        <x:v>SIMULADO</x:v>
      </x:c>
    </x:row>
    <x:row r="7">
      <x:c r="A7" t="str">
        <x:v>DIRIGIDA_EXCECAO</x:v>
      </x:c>
      <x:c r="B7" t="str">
        <x:v>ATV-0000506</x:v>
      </x:c>
      <x:c r="C7" t="str">
        <x:v>Instalações industriais</x:v>
      </x:c>
      <x:c r="D7" t="str">
        <x:v>Arcos/MG</x:v>
      </x:c>
      <x:c r="E7" t="str">
        <x:v>2018-03-20</x:v>
      </x:c>
      <x:c r="F7" t="str">
        <x:v>2018-06-20</x:v>
      </x:c>
      <x:c r="G7" t="str">
        <x:v>ATIVO</x:v>
      </x:c>
      <x:c r="H7" t="str">
        <x:v>RESP-006</x:v>
      </x:c>
      <x:c r="I7" t="str"/>
      <x:c r="J7" t="n">
        <x:v>49985.5</x:v>
      </x:c>
      <x:c r="K7" t="n">
        <x:v>24992.75</x:v>
      </x:c>
      <x:c r="L7" t="n">
        <x:v>24992.75</x:v>
      </x:c>
      <x:c r="M7" t="str">
        <x:v>SEM_DOCUMENTO</x:v>
      </x:c>
      <x:c r="N7" t="str">
        <x:v>SIMULADO</x:v>
      </x:c>
    </x:row>
    <x:row r="8">
      <x:c r="A8" t="str">
        <x:v>DIRIGIDA_EXCECAO</x:v>
      </x:c>
      <x:c r="B8" t="str">
        <x:v>ATV-0000507</x:v>
      </x:c>
      <x:c r="C8" t="str">
        <x:v>Obras em andamento</x:v>
      </x:c>
      <x:c r="D8" t="str">
        <x:v>Operação logística</x:v>
      </x:c>
      <x:c r="E8" t="str">
        <x:v>2013-06-09</x:v>
      </x:c>
      <x:c r="F8" t="str">
        <x:v>2013-11-04</x:v>
      </x:c>
      <x:c r="G8" t="str">
        <x:v>ATIVO</x:v>
      </x:c>
      <x:c r="H8" t="str">
        <x:v>RESP-007</x:v>
      </x:c>
      <x:c r="I8" t="str"/>
      <x:c r="J8" t="n">
        <x:v>13533.57</x:v>
      </x:c>
      <x:c r="K8" t="n">
        <x:v>0</x:v>
      </x:c>
      <x:c r="L8" t="n">
        <x:v>13533.57</x:v>
      </x:c>
      <x:c r="M8" t="str">
        <x:v>SEM_DOCUMENTO</x:v>
      </x:c>
      <x:c r="N8" t="str">
        <x:v>SIMULADO</x:v>
      </x:c>
    </x:row>
    <x:row r="9">
      <x:c r="A9" t="str">
        <x:v>DIRIGIDA_EXCECAO</x:v>
      </x:c>
      <x:c r="B9" t="str">
        <x:v>ATV-0000508</x:v>
      </x:c>
      <x:c r="C9" t="str">
        <x:v>Veículos e equipamentos móveis</x:v>
      </x:c>
      <x:c r="D9" t="str">
        <x:v>Outras unidades</x:v>
      </x:c>
      <x:c r="E9" t="str">
        <x:v>2012-10-07</x:v>
      </x:c>
      <x:c r="F9" t="str">
        <x:v>2012-11-19</x:v>
      </x:c>
      <x:c r="G9" t="str">
        <x:v>ATIVO</x:v>
      </x:c>
      <x:c r="H9" t="str">
        <x:v>RESP-008</x:v>
      </x:c>
      <x:c r="I9" t="str"/>
      <x:c r="J9" t="n">
        <x:v>38572.94</x:v>
      </x:c>
      <x:c r="K9" t="n">
        <x:v>7465.73</x:v>
      </x:c>
      <x:c r="L9" t="n">
        <x:v>31107.21</x:v>
      </x:c>
      <x:c r="M9" t="str">
        <x:v>SEM_DOCUMENTO</x:v>
      </x:c>
      <x:c r="N9" t="str">
        <x:v>SIMULADO</x:v>
      </x:c>
    </x:row>
    <x:row r="10">
      <x:c r="A10" t="str">
        <x:v>DIRIGIDA_EXCECAO</x:v>
      </x:c>
      <x:c r="B10" t="str">
        <x:v>ATV-0000509</x:v>
      </x:c>
      <x:c r="C10" t="str">
        <x:v>Edificações</x:v>
      </x:c>
      <x:c r="D10" t="str">
        <x:v>Congonhas/MG</x:v>
      </x:c>
      <x:c r="E10" t="str">
        <x:v>2025-11-30</x:v>
      </x:c>
      <x:c r="F10" t="str">
        <x:v>2026-04-22</x:v>
      </x:c>
      <x:c r="G10" t="str">
        <x:v>ATIVO</x:v>
      </x:c>
      <x:c r="H10" t="str">
        <x:v>RESP-009</x:v>
      </x:c>
      <x:c r="I10" t="str"/>
      <x:c r="J10" t="n">
        <x:v>36908.55</x:v>
      </x:c>
      <x:c r="K10" t="n">
        <x:v>16403.8</x:v>
      </x:c>
      <x:c r="L10" t="n">
        <x:v>20504.75</x:v>
      </x:c>
      <x:c r="M10" t="str">
        <x:v>SEM_DOCUMENTO</x:v>
      </x:c>
      <x:c r="N10" t="str">
        <x:v>SIMULADO</x:v>
      </x:c>
    </x:row>
    <x:row r="11">
      <x:c r="A11" t="str">
        <x:v>DIRIGIDA_EXCECAO</x:v>
      </x:c>
      <x:c r="B11" t="str">
        <x:v>ATV-0000510</x:v>
      </x:c>
      <x:c r="C11" t="str">
        <x:v>Infraestrutura de mina</x:v>
      </x:c>
      <x:c r="D11" t="str">
        <x:v>Arcos/MG</x:v>
      </x:c>
      <x:c r="E11" t="str">
        <x:v>2016-06-14</x:v>
      </x:c>
      <x:c r="F11" t="str">
        <x:v>2016-08-23</x:v>
      </x:c>
      <x:c r="G11" t="str">
        <x:v>ATIVO</x:v>
      </x:c>
      <x:c r="H11" t="str">
        <x:v>RESP-010</x:v>
      </x:c>
      <x:c r="I11" t="str"/>
      <x:c r="J11" t="n">
        <x:v>50542.32</x:v>
      </x:c>
      <x:c r="K11" t="n">
        <x:v>21157.25</x:v>
      </x:c>
      <x:c r="L11" t="n">
        <x:v>29385.07</x:v>
      </x:c>
      <x:c r="M11" t="str">
        <x:v>SEM_DOCUMENTO</x:v>
      </x:c>
      <x:c r="N11" t="str">
        <x:v>SIMULADO</x:v>
      </x:c>
    </x:row>
    <x:row r="12">
      <x:c r="A12" t="str">
        <x:v>DIRIGIDA_EXCECAO</x:v>
      </x:c>
      <x:c r="B12" t="str">
        <x:v>ATV-0000511</x:v>
      </x:c>
      <x:c r="C12" t="str">
        <x:v>Direito de uso</x:v>
      </x:c>
      <x:c r="D12" t="str">
        <x:v>Operação logística</x:v>
      </x:c>
      <x:c r="E12" t="str">
        <x:v>2024-09-15</x:v>
      </x:c>
      <x:c r="F12" t="str">
        <x:v>2025-02-02</x:v>
      </x:c>
      <x:c r="G12" t="str">
        <x:v>ATIVO</x:v>
      </x:c>
      <x:c r="H12" t="str">
        <x:v>RESP-011</x:v>
      </x:c>
      <x:c r="I12" t="str"/>
      <x:c r="J12" t="n">
        <x:v>65611.29</x:v>
      </x:c>
      <x:c r="K12" t="n">
        <x:v>38831.17</x:v>
      </x:c>
      <x:c r="L12" t="n">
        <x:v>26780.12</x:v>
      </x:c>
      <x:c r="M12" t="str">
        <x:v>SEM_DOCUMENTO</x:v>
      </x:c>
      <x:c r="N12" t="str">
        <x:v>SIMULADO</x:v>
      </x:c>
    </x:row>
    <x:row r="13">
      <x:c r="A13" t="str">
        <x:v>DIRIGIDA_EXCECAO</x:v>
      </x:c>
      <x:c r="B13" t="str">
        <x:v>ATV-0000512</x:v>
      </x:c>
      <x:c r="C13" t="str">
        <x:v>Máquinas e equipamentos</x:v>
      </x:c>
      <x:c r="D13" t="str">
        <x:v>Outras unidades</x:v>
      </x:c>
      <x:c r="E13" t="str">
        <x:v>2025-01-23</x:v>
      </x:c>
      <x:c r="F13" t="str">
        <x:v>2025-04-05</x:v>
      </x:c>
      <x:c r="G13" t="str">
        <x:v>ATIVO</x:v>
      </x:c>
      <x:c r="H13" t="str">
        <x:v>RESP-012</x:v>
      </x:c>
      <x:c r="I13" t="str"/>
      <x:c r="J13" t="n">
        <x:v>62665.74</x:v>
      </x:c>
      <x:c r="K13" t="n">
        <x:v>35537.71</x:v>
      </x:c>
      <x:c r="L13" t="n">
        <x:v>27128.03</x:v>
      </x:c>
      <x:c r="M13" t="str">
        <x:v>SEM_DOCUMENTO</x:v>
      </x:c>
      <x:c r="N13" t="str">
        <x:v>SIMULADO</x:v>
      </x:c>
    </x:row>
    <x:row r="14">
      <x:c r="A14" t="str">
        <x:v>DIRIGIDA_EXCECAO</x:v>
      </x:c>
      <x:c r="B14" t="str">
        <x:v>ATV-0000513</x:v>
      </x:c>
      <x:c r="C14" t="str">
        <x:v>Instalações industriais</x:v>
      </x:c>
      <x:c r="D14" t="str">
        <x:v>Congonhas/MG</x:v>
      </x:c>
      <x:c r="E14" t="str">
        <x:v>2023-11-03</x:v>
      </x:c>
      <x:c r="F14" t="str">
        <x:v>2024-03-31</x:v>
      </x:c>
      <x:c r="G14" t="str">
        <x:v>ATIVO</x:v>
      </x:c>
      <x:c r="H14" t="str">
        <x:v>RESP-013</x:v>
      </x:c>
      <x:c r="I14" t="str"/>
      <x:c r="J14" t="n">
        <x:v>24502.89</x:v>
      </x:c>
      <x:c r="K14" t="n">
        <x:v>2428.21</x:v>
      </x:c>
      <x:c r="L14" t="n">
        <x:v>22074.68</x:v>
      </x:c>
      <x:c r="M14" t="str">
        <x:v>SEM_DOCUMENTO</x:v>
      </x:c>
      <x:c r="N14" t="str">
        <x:v>SIMULADO</x:v>
      </x:c>
    </x:row>
    <x:row r="15">
      <x:c r="A15" t="str">
        <x:v>DIRIGIDA_EXCECAO</x:v>
      </x:c>
      <x:c r="B15" t="str">
        <x:v>ATV-0000514</x:v>
      </x:c>
      <x:c r="C15" t="str">
        <x:v>Obras em andamento</x:v>
      </x:c>
      <x:c r="D15" t="str">
        <x:v>Arcos/MG</x:v>
      </x:c>
      <x:c r="E15" t="str">
        <x:v>2019-04-17</x:v>
      </x:c>
      <x:c r="F15" t="str">
        <x:v>2019-07-05</x:v>
      </x:c>
      <x:c r="G15" t="str">
        <x:v>ATIVO</x:v>
      </x:c>
      <x:c r="H15" t="str">
        <x:v>RESP-014</x:v>
      </x:c>
      <x:c r="I15" t="str"/>
      <x:c r="J15" t="n">
        <x:v>43370.92</x:v>
      </x:c>
      <x:c r="K15" t="n">
        <x:v>0</x:v>
      </x:c>
      <x:c r="L15" t="n">
        <x:v>43370.92</x:v>
      </x:c>
      <x:c r="M15" t="str">
        <x:v>SEM_DOCUMENTO</x:v>
      </x:c>
      <x:c r="N15" t="str">
        <x:v>SIMULADO</x:v>
      </x:c>
    </x:row>
    <x:row r="16">
      <x:c r="A16" t="str">
        <x:v>DIRIGIDA_EXCECAO</x:v>
      </x:c>
      <x:c r="B16" t="str">
        <x:v>ATV-0000515</x:v>
      </x:c>
      <x:c r="C16" t="str">
        <x:v>Veículos e equipamentos móveis</x:v>
      </x:c>
      <x:c r="D16" t="str">
        <x:v>Operação logística</x:v>
      </x:c>
      <x:c r="E16" t="str">
        <x:v>2012-02-29</x:v>
      </x:c>
      <x:c r="F16" t="str">
        <x:v>2012-04-06</x:v>
      </x:c>
      <x:c r="G16" t="str">
        <x:v>ATIVO</x:v>
      </x:c>
      <x:c r="H16" t="str">
        <x:v>RESP-015</x:v>
      </x:c>
      <x:c r="I16" t="str"/>
      <x:c r="J16" t="n">
        <x:v>20314.44</x:v>
      </x:c>
      <x:c r="K16" t="n">
        <x:v>5154.41</x:v>
      </x:c>
      <x:c r="L16" t="n">
        <x:v>15160.03</x:v>
      </x:c>
      <x:c r="M16" t="str">
        <x:v>SEM_DOCUMENTO</x:v>
      </x:c>
      <x:c r="N16" t="str">
        <x:v>SIMULADO</x:v>
      </x:c>
    </x:row>
    <x:row r="17">
      <x:c r="A17" t="str">
        <x:v>DIRIGIDA_EXCECAO</x:v>
      </x:c>
      <x:c r="B17" t="str">
        <x:v>ATV-0000516</x:v>
      </x:c>
      <x:c r="C17" t="str">
        <x:v>Edificações</x:v>
      </x:c>
      <x:c r="D17" t="str">
        <x:v>Outras unidades</x:v>
      </x:c>
      <x:c r="E17" t="str">
        <x:v>2021-08-04</x:v>
      </x:c>
      <x:c r="F17" t="str">
        <x:v>2021-10-15</x:v>
      </x:c>
      <x:c r="G17" t="str">
        <x:v>ATIVO</x:v>
      </x:c>
      <x:c r="H17" t="str">
        <x:v>RESP-016</x:v>
      </x:c>
      <x:c r="I17" t="str"/>
      <x:c r="J17" t="n">
        <x:v>68085.34</x:v>
      </x:c>
      <x:c r="K17" t="n">
        <x:v>25532</x:v>
      </x:c>
      <x:c r="L17" t="n">
        <x:v>42553.34</x:v>
      </x:c>
      <x:c r="M17" t="str">
        <x:v>SEM_DOCUMENTO</x:v>
      </x:c>
      <x:c r="N17" t="str">
        <x:v>SIMULADO</x:v>
      </x:c>
    </x:row>
    <x:row r="18">
      <x:c r="A18" t="str">
        <x:v>DIRIGIDA_EXCECAO</x:v>
      </x:c>
      <x:c r="B18" t="str">
        <x:v>ATV-0000517</x:v>
      </x:c>
      <x:c r="C18" t="str">
        <x:v>Infraestrutura de mina</x:v>
      </x:c>
      <x:c r="D18" t="str">
        <x:v>Congonhas/MG</x:v>
      </x:c>
      <x:c r="E18" t="str">
        <x:v>2016-07-01</x:v>
      </x:c>
      <x:c r="F18" t="str">
        <x:v>2016-07-26</x:v>
      </x:c>
      <x:c r="G18" t="str">
        <x:v>ATIVO</x:v>
      </x:c>
      <x:c r="H18" t="str">
        <x:v>RESP-017</x:v>
      </x:c>
      <x:c r="I18" t="str"/>
      <x:c r="J18" t="n">
        <x:v>3529.59</x:v>
      </x:c>
      <x:c r="K18" t="n">
        <x:v>1350.83</x:v>
      </x:c>
      <x:c r="L18" t="n">
        <x:v>2178.76</x:v>
      </x:c>
      <x:c r="M18" t="str">
        <x:v>SEM_DOCUMENTO</x:v>
      </x:c>
      <x:c r="N18" t="str">
        <x:v>SIMULADO</x:v>
      </x:c>
    </x:row>
    <x:row r="19">
      <x:c r="A19" t="str">
        <x:v>DIRIGIDA_EXCECAO</x:v>
      </x:c>
      <x:c r="B19" t="str">
        <x:v>ATV-0000518</x:v>
      </x:c>
      <x:c r="C19" t="str">
        <x:v>Direito de uso</x:v>
      </x:c>
      <x:c r="D19" t="str">
        <x:v>Arcos/MG</x:v>
      </x:c>
      <x:c r="E19" t="str">
        <x:v>2018-06-28</x:v>
      </x:c>
      <x:c r="F19" t="str">
        <x:v>2018-08-28</x:v>
      </x:c>
      <x:c r="G19" t="str">
        <x:v>ATIVO</x:v>
      </x:c>
      <x:c r="H19" t="str">
        <x:v>RESP-018</x:v>
      </x:c>
      <x:c r="I19" t="str"/>
      <x:c r="J19" t="n">
        <x:v>71906.31</x:v>
      </x:c>
      <x:c r="K19" t="n">
        <x:v>34841.2</x:v>
      </x:c>
      <x:c r="L19" t="n">
        <x:v>37065.11</x:v>
      </x:c>
      <x:c r="M19" t="str">
        <x:v>SEM_DOCUMENTO</x:v>
      </x:c>
      <x:c r="N19" t="str">
        <x:v>SIMULADO</x:v>
      </x:c>
    </x:row>
    <x:row r="20">
      <x:c r="A20" t="str">
        <x:v>DIRIGIDA_EXCECAO</x:v>
      </x:c>
      <x:c r="B20" t="str">
        <x:v>ATV-0000519</x:v>
      </x:c>
      <x:c r="C20" t="str">
        <x:v>Máquinas e equipamentos</x:v>
      </x:c>
      <x:c r="D20" t="str">
        <x:v>Operação logística</x:v>
      </x:c>
      <x:c r="E20" t="str">
        <x:v>2024-11-22</x:v>
      </x:c>
      <x:c r="F20" t="str">
        <x:v>2025-05-14</x:v>
      </x:c>
      <x:c r="G20" t="str">
        <x:v>ATIVO</x:v>
      </x:c>
      <x:c r="H20" t="str">
        <x:v>RESP-019</x:v>
      </x:c>
      <x:c r="I20" t="str"/>
      <x:c r="J20" t="n">
        <x:v>43480.07</x:v>
      </x:c>
      <x:c r="K20" t="n">
        <x:v>11272.61</x:v>
      </x:c>
      <x:c r="L20" t="n">
        <x:v>32207.46</x:v>
      </x:c>
      <x:c r="M20" t="str">
        <x:v>SEM_DOCUMENTO</x:v>
      </x:c>
      <x:c r="N20" t="str">
        <x:v>SIMULADO</x:v>
      </x:c>
    </x:row>
    <x:row r="21">
      <x:c r="A21" t="str">
        <x:v>DIRIGIDA_EXCECAO</x:v>
      </x:c>
      <x:c r="B21" t="str">
        <x:v>ATV-0000520</x:v>
      </x:c>
      <x:c r="C21" t="str">
        <x:v>Instalações industriais</x:v>
      </x:c>
      <x:c r="D21" t="str">
        <x:v>Outras unidades</x:v>
      </x:c>
      <x:c r="E21" t="str">
        <x:v>2015-03-14</x:v>
      </x:c>
      <x:c r="F21" t="str">
        <x:v>2015-06-25</x:v>
      </x:c>
      <x:c r="G21" t="str">
        <x:v>ATIVO</x:v>
      </x:c>
      <x:c r="H21" t="str">
        <x:v>RESP-020</x:v>
      </x:c>
      <x:c r="I21" t="str"/>
      <x:c r="J21" t="n">
        <x:v>15326.5</x:v>
      </x:c>
      <x:c r="K21" t="n">
        <x:v>6415.74</x:v>
      </x:c>
      <x:c r="L21" t="n">
        <x:v>8910.76</x:v>
      </x:c>
      <x:c r="M21" t="str">
        <x:v>SEM_DOCUMENTO</x:v>
      </x:c>
      <x:c r="N21" t="str">
        <x:v>SIMULADO</x:v>
      </x:c>
    </x:row>
    <x:row r="22">
      <x:c r="A22" t="str">
        <x:v>DIRIGIDA_EXCECAO</x:v>
      </x:c>
      <x:c r="B22" t="str">
        <x:v>ATV-0000521</x:v>
      </x:c>
      <x:c r="C22" t="str">
        <x:v>Obras em andamento</x:v>
      </x:c>
      <x:c r="D22" t="str">
        <x:v>Congonhas/MG</x:v>
      </x:c>
      <x:c r="E22" t="str">
        <x:v>2023-05-19</x:v>
      </x:c>
      <x:c r="F22" t="str">
        <x:v>2023-11-14</x:v>
      </x:c>
      <x:c r="G22" t="str">
        <x:v>ATIVO</x:v>
      </x:c>
      <x:c r="H22" t="str">
        <x:v>RESP-021</x:v>
      </x:c>
      <x:c r="I22" t="str"/>
      <x:c r="J22" t="n">
        <x:v>25745.1</x:v>
      </x:c>
      <x:c r="K22" t="n">
        <x:v>0</x:v>
      </x:c>
      <x:c r="L22" t="n">
        <x:v>25745.1</x:v>
      </x:c>
      <x:c r="M22" t="str">
        <x:v>SEM_DOCUMENTO</x:v>
      </x:c>
      <x:c r="N22" t="str">
        <x:v>SIMULADO</x:v>
      </x:c>
    </x:row>
    <x:row r="23">
      <x:c r="A23" t="str">
        <x:v>DIRIGIDA_EXCECAO</x:v>
      </x:c>
      <x:c r="B23" t="str">
        <x:v>ATV-0000522</x:v>
      </x:c>
      <x:c r="C23" t="str">
        <x:v>Veículos e equipamentos móveis</x:v>
      </x:c>
      <x:c r="D23" t="str">
        <x:v>Arcos/MG</x:v>
      </x:c>
      <x:c r="E23" t="str">
        <x:v>2022-12-09</x:v>
      </x:c>
      <x:c r="F23" t="str">
        <x:v>2022-12-13</x:v>
      </x:c>
      <x:c r="G23" t="str">
        <x:v>ATIVO</x:v>
      </x:c>
      <x:c r="H23" t="str">
        <x:v>RESP-022</x:v>
      </x:c>
      <x:c r="I23" t="str"/>
      <x:c r="J23" t="n">
        <x:v>80646.95</x:v>
      </x:c>
      <x:c r="K23" t="n">
        <x:v>44803.86</x:v>
      </x:c>
      <x:c r="L23" t="n">
        <x:v>35843.09</x:v>
      </x:c>
      <x:c r="M23" t="str">
        <x:v>SEM_DOCUMENTO</x:v>
      </x:c>
      <x:c r="N23" t="str">
        <x:v>SIMULADO</x:v>
      </x:c>
    </x:row>
    <x:row r="24">
      <x:c r="A24" t="str">
        <x:v>DIRIGIDA_EXCECAO</x:v>
      </x:c>
      <x:c r="B24" t="str">
        <x:v>ATV-0000523</x:v>
      </x:c>
      <x:c r="C24" t="str">
        <x:v>Edificações</x:v>
      </x:c>
      <x:c r="D24" t="str">
        <x:v>Operação logística</x:v>
      </x:c>
      <x:c r="E24" t="str">
        <x:v>2014-09-29</x:v>
      </x:c>
      <x:c r="F24" t="str">
        <x:v>2015-03-17</x:v>
      </x:c>
      <x:c r="G24" t="str">
        <x:v>ATIVO</x:v>
      </x:c>
      <x:c r="H24" t="str">
        <x:v>RESP-023</x:v>
      </x:c>
      <x:c r="I24" t="str"/>
      <x:c r="J24" t="n">
        <x:v>27561.16</x:v>
      </x:c>
      <x:c r="K24" t="n">
        <x:v>10335.43</x:v>
      </x:c>
      <x:c r="L24" t="n">
        <x:v>17225.73</x:v>
      </x:c>
      <x:c r="M24" t="str">
        <x:v>SEM_DOCUMENTO</x:v>
      </x:c>
      <x:c r="N24" t="str">
        <x:v>SIMULADO</x:v>
      </x:c>
    </x:row>
    <x:row r="25">
      <x:c r="A25" t="str">
        <x:v>DIRIGIDA_EXCECAO</x:v>
      </x:c>
      <x:c r="B25" t="str">
        <x:v>ATV-0000524</x:v>
      </x:c>
      <x:c r="C25" t="str">
        <x:v>Infraestrutura de mina</x:v>
      </x:c>
      <x:c r="D25" t="str">
        <x:v>Outras unidades</x:v>
      </x:c>
      <x:c r="E25" t="str">
        <x:v>2013-03-21</x:v>
      </x:c>
      <x:c r="F25" t="str">
        <x:v>2013-06-26</x:v>
      </x:c>
      <x:c r="G25" t="str">
        <x:v>ATIVO</x:v>
      </x:c>
      <x:c r="H25" t="str">
        <x:v>RESP-024</x:v>
      </x:c>
      <x:c r="I25" t="str"/>
      <x:c r="J25" t="n">
        <x:v>48705.98</x:v>
      </x:c>
      <x:c r="K25" t="n">
        <x:v>29827.69</x:v>
      </x:c>
      <x:c r="L25" t="n">
        <x:v>18878.29</x:v>
      </x:c>
      <x:c r="M25" t="str">
        <x:v>SEM_DOCUMENTO</x:v>
      </x:c>
      <x:c r="N25" t="str">
        <x:v>SIMULADO</x:v>
      </x:c>
    </x:row>
    <x:row r="26">
      <x:c r="A26" t="str">
        <x:v>DIRIGIDA_EXCECAO</x:v>
      </x:c>
      <x:c r="B26" t="str">
        <x:v>ATV-0000525</x:v>
      </x:c>
      <x:c r="C26" t="str">
        <x:v>Direito de uso</x:v>
      </x:c>
      <x:c r="D26" t="str">
        <x:v>Congonhas/MG</x:v>
      </x:c>
      <x:c r="E26" t="str">
        <x:v>2023-11-12</x:v>
      </x:c>
      <x:c r="F26" t="str">
        <x:v>2024-05-09</x:v>
      </x:c>
      <x:c r="G26" t="str">
        <x:v>ATIVO</x:v>
      </x:c>
      <x:c r="H26" t="str">
        <x:v>RESP-025</x:v>
      </x:c>
      <x:c r="I26" t="str"/>
      <x:c r="J26" t="n">
        <x:v>36656.27</x:v>
      </x:c>
      <x:c r="K26" t="n">
        <x:v>7793.06</x:v>
      </x:c>
      <x:c r="L26" t="n">
        <x:v>28863.21</x:v>
      </x:c>
      <x:c r="M26" t="str">
        <x:v>SEM_DOCUMENTO</x:v>
      </x:c>
      <x:c r="N26" t="str">
        <x:v>SIMULADO</x:v>
      </x:c>
    </x:row>
    <x:row r="27">
      <x:c r="A27" t="str">
        <x:v>DIRIGIDA_EXCECAO</x:v>
      </x:c>
      <x:c r="B27" t="str">
        <x:v>ATV-0000526</x:v>
      </x:c>
      <x:c r="C27" t="str">
        <x:v>Máquinas e equipamentos</x:v>
      </x:c>
      <x:c r="D27" t="str">
        <x:v>Arcos/MG</x:v>
      </x:c>
      <x:c r="E27" t="str">
        <x:v>2016-12-14</x:v>
      </x:c>
      <x:c r="F27" t="str">
        <x:v>2017-01-22</x:v>
      </x:c>
      <x:c r="G27" t="str">
        <x:v>ATIVO</x:v>
      </x:c>
      <x:c r="H27" t="str">
        <x:v>RESP-026</x:v>
      </x:c>
      <x:c r="I27" t="str"/>
      <x:c r="J27" t="n">
        <x:v>27390.99</x:v>
      </x:c>
      <x:c r="K27" t="n">
        <x:v>7964.75</x:v>
      </x:c>
      <x:c r="L27" t="n">
        <x:v>19426.24</x:v>
      </x:c>
      <x:c r="M27" t="str">
        <x:v>SEM_DOCUMENTO</x:v>
      </x:c>
      <x:c r="N27" t="str">
        <x:v>SIMULADO</x:v>
      </x:c>
    </x:row>
    <x:row r="28">
      <x:c r="A28" t="str">
        <x:v>DIRIGIDA_EXCECAO</x:v>
      </x:c>
      <x:c r="B28" t="str">
        <x:v>ATV-0000527</x:v>
      </x:c>
      <x:c r="C28" t="str">
        <x:v>Instalações industriais</x:v>
      </x:c>
      <x:c r="D28" t="str">
        <x:v>Operação logística</x:v>
      </x:c>
      <x:c r="E28" t="str">
        <x:v>2025-07-23</x:v>
      </x:c>
      <x:c r="F28" t="str">
        <x:v>2025-10-29</x:v>
      </x:c>
      <x:c r="G28" t="str">
        <x:v>ATIVO</x:v>
      </x:c>
      <x:c r="H28" t="str">
        <x:v>RESP-027</x:v>
      </x:c>
      <x:c r="I28" t="str"/>
      <x:c r="J28" t="n">
        <x:v>70803.67</x:v>
      </x:c>
      <x:c r="K28" t="n">
        <x:v>38765.81</x:v>
      </x:c>
      <x:c r="L28" t="n">
        <x:v>32037.86</x:v>
      </x:c>
      <x:c r="M28" t="str">
        <x:v>SEM_DOCUMENTO</x:v>
      </x:c>
      <x:c r="N28" t="str">
        <x:v>SIMULADO</x:v>
      </x:c>
    </x:row>
    <x:row r="29">
      <x:c r="A29" t="str">
        <x:v>DIRIGIDA_EXCECAO</x:v>
      </x:c>
      <x:c r="B29" t="str">
        <x:v>ATV-0000528</x:v>
      </x:c>
      <x:c r="C29" t="str">
        <x:v>Obras em andamento</x:v>
      </x:c>
      <x:c r="D29" t="str">
        <x:v>Outras unidades</x:v>
      </x:c>
      <x:c r="E29" t="str">
        <x:v>2013-10-07</x:v>
      </x:c>
      <x:c r="F29" t="str">
        <x:v>2013-10-24</x:v>
      </x:c>
      <x:c r="G29" t="str">
        <x:v>ATIVO</x:v>
      </x:c>
      <x:c r="H29" t="str">
        <x:v>RESP-028</x:v>
      </x:c>
      <x:c r="I29" t="str"/>
      <x:c r="J29" t="n">
        <x:v>40074.51</x:v>
      </x:c>
      <x:c r="K29" t="n">
        <x:v>0</x:v>
      </x:c>
      <x:c r="L29" t="n">
        <x:v>40074.51</x:v>
      </x:c>
      <x:c r="M29" t="str">
        <x:v>SEM_DOCUMENTO</x:v>
      </x:c>
      <x:c r="N29" t="str">
        <x:v>SIMULADO</x:v>
      </x:c>
    </x:row>
    <x:row r="30">
      <x:c r="A30" t="str">
        <x:v>DIRIGIDA_EXCECAO</x:v>
      </x:c>
      <x:c r="B30" t="str">
        <x:v>ATV-0000529</x:v>
      </x:c>
      <x:c r="C30" t="str">
        <x:v>Veículos e equipamentos móveis</x:v>
      </x:c>
      <x:c r="D30" t="str">
        <x:v>Congonhas/MG</x:v>
      </x:c>
      <x:c r="E30" t="str">
        <x:v>2019-02-03</x:v>
      </x:c>
      <x:c r="F30" t="str">
        <x:v>2019-03-10</x:v>
      </x:c>
      <x:c r="G30" t="str">
        <x:v>ATIVO</x:v>
      </x:c>
      <x:c r="H30" t="str">
        <x:v>RESP-029</x:v>
      </x:c>
      <x:c r="I30" t="str"/>
      <x:c r="J30" t="n">
        <x:v>4219.17</x:v>
      </x:c>
      <x:c r="K30" t="n">
        <x:v>2310.04</x:v>
      </x:c>
      <x:c r="L30" t="n">
        <x:v>1909.13</x:v>
      </x:c>
      <x:c r="M30" t="str">
        <x:v>SEM_DOCUMENTO</x:v>
      </x:c>
      <x:c r="N30" t="str">
        <x:v>SIMULADO</x:v>
      </x:c>
    </x:row>
    <x:row r="31">
      <x:c r="A31" t="str">
        <x:v>DIRIGIDA_EXCECAO</x:v>
      </x:c>
      <x:c r="B31" t="str">
        <x:v>ATV-0000530</x:v>
      </x:c>
      <x:c r="C31" t="str">
        <x:v>Edificações</x:v>
      </x:c>
      <x:c r="D31" t="str">
        <x:v>Arcos/MG</x:v>
      </x:c>
      <x:c r="E31" t="str">
        <x:v>2021-10-16</x:v>
      </x:c>
      <x:c r="F31" t="str">
        <x:v>2022-03-06</x:v>
      </x:c>
      <x:c r="G31" t="str">
        <x:v>ATIVO</x:v>
      </x:c>
      <x:c r="H31" t="str">
        <x:v>RESP-030</x:v>
      </x:c>
      <x:c r="I31" t="str"/>
      <x:c r="J31" t="n">
        <x:v>27013.09</x:v>
      </x:c>
      <x:c r="K31" t="n">
        <x:v>5742.94</x:v>
      </x:c>
      <x:c r="L31" t="n">
        <x:v>21270.15</x:v>
      </x:c>
      <x:c r="M31" t="str">
        <x:v>SEM_DOCUMENTO</x:v>
      </x:c>
      <x:c r="N31" t="str">
        <x:v>SIMULADO</x:v>
      </x:c>
    </x:row>
    <x:row r="32">
      <x:c r="A32" t="str">
        <x:v>DIRIGIDA_EXCECAO</x:v>
      </x:c>
      <x:c r="B32" t="str">
        <x:v>ATV-0000531</x:v>
      </x:c>
      <x:c r="C32" t="str">
        <x:v>Infraestrutura de mina</x:v>
      </x:c>
      <x:c r="D32" t="str">
        <x:v>Operação logística</x:v>
      </x:c>
      <x:c r="E32" t="str">
        <x:v>2021-01-21</x:v>
      </x:c>
      <x:c r="F32" t="str">
        <x:v>2021-03-09</x:v>
      </x:c>
      <x:c r="G32" t="str">
        <x:v>ATIVO</x:v>
      </x:c>
      <x:c r="H32" t="str">
        <x:v>RESP-031</x:v>
      </x:c>
      <x:c r="I32" t="str"/>
      <x:c r="J32" t="n">
        <x:v>20517.36</x:v>
      </x:c>
      <x:c r="K32" t="n">
        <x:v>1865.21</x:v>
      </x:c>
      <x:c r="L32" t="n">
        <x:v>18652.15</x:v>
      </x:c>
      <x:c r="M32" t="str">
        <x:v>SEM_DOCUMENTO</x:v>
      </x:c>
      <x:c r="N32" t="str">
        <x:v>SIMULADO</x:v>
      </x:c>
    </x:row>
    <x:row r="33">
      <x:c r="A33" t="str">
        <x:v>DIRIGIDA_EXCECAO</x:v>
      </x:c>
      <x:c r="B33" t="str">
        <x:v>ATV-0000532</x:v>
      </x:c>
      <x:c r="C33" t="str">
        <x:v>Direito de uso</x:v>
      </x:c>
      <x:c r="D33" t="str">
        <x:v>Outras unidades</x:v>
      </x:c>
      <x:c r="E33" t="str">
        <x:v>2019-11-10</x:v>
      </x:c>
      <x:c r="F33" t="str">
        <x:v>2020-02-03</x:v>
      </x:c>
      <x:c r="G33" t="str">
        <x:v>ATIVO</x:v>
      </x:c>
      <x:c r="H33" t="str">
        <x:v>RESP-032</x:v>
      </x:c>
      <x:c r="I33" t="str"/>
      <x:c r="J33" t="n">
        <x:v>30739.73</x:v>
      </x:c>
      <x:c r="K33" t="n">
        <x:v>7799.63</x:v>
      </x:c>
      <x:c r="L33" t="n">
        <x:v>22940.1</x:v>
      </x:c>
      <x:c r="M33" t="str">
        <x:v>SEM_DOCUMENTO</x:v>
      </x:c>
      <x:c r="N33" t="str">
        <x:v>SIMULADO</x:v>
      </x:c>
    </x:row>
    <x:row r="34">
      <x:c r="A34" t="str">
        <x:v>DIRIGIDA_EXCECAO</x:v>
      </x:c>
      <x:c r="B34" t="str">
        <x:v>ATV-0000533</x:v>
      </x:c>
      <x:c r="C34" t="str">
        <x:v>Máquinas e equipamentos</x:v>
      </x:c>
      <x:c r="D34" t="str">
        <x:v>Congonhas/MG</x:v>
      </x:c>
      <x:c r="E34" t="str">
        <x:v>2018-02-27</x:v>
      </x:c>
      <x:c r="F34" t="str">
        <x:v>2018-05-21</x:v>
      </x:c>
      <x:c r="G34" t="str">
        <x:v>ATIVO</x:v>
      </x:c>
      <x:c r="H34" t="str">
        <x:v>RESP-033</x:v>
      </x:c>
      <x:c r="I34" t="str"/>
      <x:c r="J34" t="n">
        <x:v>94281.58</x:v>
      </x:c>
      <x:c r="K34" t="n">
        <x:v>57738.33</x:v>
      </x:c>
      <x:c r="L34" t="n">
        <x:v>36543.25</x:v>
      </x:c>
      <x:c r="M34" t="str">
        <x:v>SEM_DOCUMENTO</x:v>
      </x:c>
      <x:c r="N34" t="str">
        <x:v>SIMULADO</x:v>
      </x:c>
    </x:row>
    <x:row r="35">
      <x:c r="A35" t="str">
        <x:v>DIRIGIDA_EXCECAO</x:v>
      </x:c>
      <x:c r="B35" t="str">
        <x:v>ATV-0000534</x:v>
      </x:c>
      <x:c r="C35" t="str">
        <x:v>Instalações industriais</x:v>
      </x:c>
      <x:c r="D35" t="str">
        <x:v>Arcos/MG</x:v>
      </x:c>
      <x:c r="E35" t="str">
        <x:v>2019-12-19</x:v>
      </x:c>
      <x:c r="F35" t="str">
        <x:v>2020-03-05</x:v>
      </x:c>
      <x:c r="G35" t="str">
        <x:v>ATIVO</x:v>
      </x:c>
      <x:c r="H35" t="str">
        <x:v>RESP-034</x:v>
      </x:c>
      <x:c r="I35" t="str"/>
      <x:c r="J35" t="n">
        <x:v>52650.07</x:v>
      </x:c>
      <x:c r="K35" t="n">
        <x:v>29857.83</x:v>
      </x:c>
      <x:c r="L35" t="n">
        <x:v>22792.24</x:v>
      </x:c>
      <x:c r="M35" t="str">
        <x:v>SEM_DOCUMENTO</x:v>
      </x:c>
      <x:c r="N35" t="str">
        <x:v>SIMULADO</x:v>
      </x:c>
    </x:row>
    <x:row r="36">
      <x:c r="A36" t="str">
        <x:v>DIRIGIDA_EXCECAO</x:v>
      </x:c>
      <x:c r="B36" t="str">
        <x:v>ATV-0000535</x:v>
      </x:c>
      <x:c r="C36" t="str">
        <x:v>Obras em andamento</x:v>
      </x:c>
      <x:c r="D36" t="str">
        <x:v>Operação logística</x:v>
      </x:c>
      <x:c r="E36" t="str">
        <x:v>2023-01-11</x:v>
      </x:c>
      <x:c r="F36" t="str">
        <x:v>2023-03-24</x:v>
      </x:c>
      <x:c r="G36" t="str">
        <x:v>ATIVO</x:v>
      </x:c>
      <x:c r="H36" t="str">
        <x:v>RESP-035</x:v>
      </x:c>
      <x:c r="I36" t="str"/>
      <x:c r="J36" t="n">
        <x:v>37308.65</x:v>
      </x:c>
      <x:c r="K36" t="n">
        <x:v>0</x:v>
      </x:c>
      <x:c r="L36" t="n">
        <x:v>37308.65</x:v>
      </x:c>
      <x:c r="M36" t="str">
        <x:v>SEM_DOCUMENTO</x:v>
      </x:c>
      <x:c r="N36" t="str">
        <x:v>SIMULADO</x:v>
      </x:c>
    </x:row>
    <x:row r="37">
      <x:c r="A37" t="str">
        <x:v>DIRIGIDA_EXCECAO</x:v>
      </x:c>
      <x:c r="B37" t="str">
        <x:v>ATV-0000536</x:v>
      </x:c>
      <x:c r="C37" t="str">
        <x:v>Veículos e equipamentos móveis</x:v>
      </x:c>
      <x:c r="D37" t="str">
        <x:v>Outras unidades</x:v>
      </x:c>
      <x:c r="E37" t="str">
        <x:v>2022-04-16</x:v>
      </x:c>
      <x:c r="F37" t="str">
        <x:v>2022-07-18</x:v>
      </x:c>
      <x:c r="G37" t="str">
        <x:v>ATIVO</x:v>
      </x:c>
      <x:c r="H37" t="str">
        <x:v>RESP-036</x:v>
      </x:c>
      <x:c r="I37" t="str"/>
      <x:c r="J37" t="n">
        <x:v>44395.27</x:v>
      </x:c>
      <x:c r="K37" t="n">
        <x:v>26847.73</x:v>
      </x:c>
      <x:c r="L37" t="n">
        <x:v>17547.54</x:v>
      </x:c>
      <x:c r="M37" t="str">
        <x:v>SEM_DOCUMENTO</x:v>
      </x:c>
      <x:c r="N37" t="str">
        <x:v>SIMULADO</x:v>
      </x:c>
    </x:row>
    <x:row r="38">
      <x:c r="A38" t="str">
        <x:v>DIRIGIDA_EXCECAO</x:v>
      </x:c>
      <x:c r="B38" t="str">
        <x:v>ATV-0000537</x:v>
      </x:c>
      <x:c r="C38" t="str">
        <x:v>Edificações</x:v>
      </x:c>
      <x:c r="D38" t="str">
        <x:v>Congonhas/MG</x:v>
      </x:c>
      <x:c r="E38" t="str">
        <x:v>2019-08-05</x:v>
      </x:c>
      <x:c r="F38" t="str">
        <x:v>2019-09-18</x:v>
      </x:c>
      <x:c r="G38" t="str">
        <x:v>ATIVO</x:v>
      </x:c>
      <x:c r="H38" t="str">
        <x:v>RESP-037</x:v>
      </x:c>
      <x:c r="I38" t="str"/>
      <x:c r="J38" t="n">
        <x:v>17188.75</x:v>
      </x:c>
      <x:c r="K38" t="n">
        <x:v>10448.06</x:v>
      </x:c>
      <x:c r="L38" t="n">
        <x:v>6740.69</x:v>
      </x:c>
      <x:c r="M38" t="str">
        <x:v>SEM_DOCUMENTO</x:v>
      </x:c>
      <x:c r="N38" t="str">
        <x:v>SIMULADO</x:v>
      </x:c>
    </x:row>
    <x:row r="39">
      <x:c r="A39" t="str">
        <x:v>DIRIGIDA_EXCECAO</x:v>
      </x:c>
      <x:c r="B39" t="str">
        <x:v>ATV-0000538</x:v>
      </x:c>
      <x:c r="C39" t="str">
        <x:v>Infraestrutura de mina</x:v>
      </x:c>
      <x:c r="D39" t="str">
        <x:v>Arcos/MG</x:v>
      </x:c>
      <x:c r="E39" t="str">
        <x:v>2021-12-11</x:v>
      </x:c>
      <x:c r="F39" t="str">
        <x:v>2022-04-21</x:v>
      </x:c>
      <x:c r="G39" t="str">
        <x:v>ATIVO</x:v>
      </x:c>
      <x:c r="H39" t="str">
        <x:v>RESP-038</x:v>
      </x:c>
      <x:c r="I39" t="str"/>
      <x:c r="J39" t="n">
        <x:v>48140.76</x:v>
      </x:c>
      <x:c r="K39" t="n">
        <x:v>16259.46</x:v>
      </x:c>
      <x:c r="L39" t="n">
        <x:v>31881.3</x:v>
      </x:c>
      <x:c r="M39" t="str">
        <x:v>SEM_DOCUMENTO</x:v>
      </x:c>
      <x:c r="N39" t="str">
        <x:v>SIMULADO</x:v>
      </x:c>
    </x:row>
    <x:row r="40">
      <x:c r="A40" t="str">
        <x:v>DIRIGIDA_EXCECAO</x:v>
      </x:c>
      <x:c r="B40" t="str">
        <x:v>ATV-0000539</x:v>
      </x:c>
      <x:c r="C40" t="str">
        <x:v>Direito de uso</x:v>
      </x:c>
      <x:c r="D40" t="str">
        <x:v>Operação logística</x:v>
      </x:c>
      <x:c r="E40" t="str">
        <x:v>2016-07-31</x:v>
      </x:c>
      <x:c r="F40" t="str">
        <x:v>2016-11-17</x:v>
      </x:c>
      <x:c r="G40" t="str">
        <x:v>ATIVO</x:v>
      </x:c>
      <x:c r="H40" t="str">
        <x:v>RESP-039</x:v>
      </x:c>
      <x:c r="I40" t="str"/>
      <x:c r="J40" t="n">
        <x:v>59435.64</x:v>
      </x:c>
      <x:c r="K40" t="n">
        <x:v>24266.62</x:v>
      </x:c>
      <x:c r="L40" t="n">
        <x:v>35169.02</x:v>
      </x:c>
      <x:c r="M40" t="str">
        <x:v>SEM_DOCUMENTO</x:v>
      </x:c>
      <x:c r="N40" t="str">
        <x:v>SIMULADO</x:v>
      </x:c>
    </x:row>
    <x:row r="41">
      <x:c r="A41" t="str">
        <x:v>DIRIGIDA_EXCECAO</x:v>
      </x:c>
      <x:c r="B41" t="str">
        <x:v>ATV-0000540</x:v>
      </x:c>
      <x:c r="C41" t="str">
        <x:v>Máquinas e equipamentos</x:v>
      </x:c>
      <x:c r="D41" t="str">
        <x:v>Outras unidades</x:v>
      </x:c>
      <x:c r="E41" t="str">
        <x:v>2023-06-05</x:v>
      </x:c>
      <x:c r="F41" t="str">
        <x:v>2023-11-04</x:v>
      </x:c>
      <x:c r="G41" t="str">
        <x:v>ATIVO</x:v>
      </x:c>
      <x:c r="H41" t="str">
        <x:v>RESP-040</x:v>
      </x:c>
      <x:c r="I41" t="str"/>
      <x:c r="J41" t="n">
        <x:v>9593.08</x:v>
      </x:c>
      <x:c r="K41" t="n">
        <x:v>3983.09</x:v>
      </x:c>
      <x:c r="L41" t="n">
        <x:v>5609.99</x:v>
      </x:c>
      <x:c r="M41" t="str">
        <x:v>SEM_DOCUMENTO</x:v>
      </x:c>
      <x:c r="N41" t="str">
        <x:v>SIMULADO</x:v>
      </x:c>
    </x:row>
    <x:row r="42">
      <x:c r="A42" t="str">
        <x:v>DIRIGIDA_EXCECAO</x:v>
      </x:c>
      <x:c r="B42" t="str">
        <x:v>ATV-0000541</x:v>
      </x:c>
      <x:c r="C42" t="str">
        <x:v>Instalações industriais</x:v>
      </x:c>
      <x:c r="D42" t="str">
        <x:v>Congonhas/MG</x:v>
      </x:c>
      <x:c r="E42" t="str">
        <x:v>2014-11-22</x:v>
      </x:c>
      <x:c r="F42" t="str">
        <x:v>2014-12-15</x:v>
      </x:c>
      <x:c r="G42" t="str">
        <x:v>ATIVO</x:v>
      </x:c>
      <x:c r="H42" t="str">
        <x:v>RESP-041</x:v>
      </x:c>
      <x:c r="I42" t="str"/>
      <x:c r="J42" t="n">
        <x:v>36706.07</x:v>
      </x:c>
      <x:c r="K42" t="n">
        <x:v>11904.67</x:v>
      </x:c>
      <x:c r="L42" t="n">
        <x:v>24801.4</x:v>
      </x:c>
      <x:c r="M42" t="str">
        <x:v>SEM_DOCUMENTO</x:v>
      </x:c>
      <x:c r="N42" t="str">
        <x:v>SIMULADO</x:v>
      </x:c>
    </x:row>
    <x:row r="43">
      <x:c r="A43" t="str">
        <x:v>DIRIGIDA_EXCECAO</x:v>
      </x:c>
      <x:c r="B43" t="str">
        <x:v>ATV-0000542</x:v>
      </x:c>
      <x:c r="C43" t="str">
        <x:v>Obras em andamento</x:v>
      </x:c>
      <x:c r="D43" t="str">
        <x:v>Arcos/MG</x:v>
      </x:c>
      <x:c r="E43" t="str">
        <x:v>2016-04-30</x:v>
      </x:c>
      <x:c r="F43" t="str">
        <x:v>2016-05-16</x:v>
      </x:c>
      <x:c r="G43" t="str">
        <x:v>ATIVO</x:v>
      </x:c>
      <x:c r="H43" t="str">
        <x:v>RESP-042</x:v>
      </x:c>
      <x:c r="I43" t="str"/>
      <x:c r="J43" t="n">
        <x:v>13611.85</x:v>
      </x:c>
      <x:c r="K43" t="n">
        <x:v>0</x:v>
      </x:c>
      <x:c r="L43" t="n">
        <x:v>13611.85</x:v>
      </x:c>
      <x:c r="M43" t="str">
        <x:v>SEM_DOCUMENTO</x:v>
      </x:c>
      <x:c r="N43" t="str">
        <x:v>SIMULADO</x:v>
      </x:c>
    </x:row>
    <x:row r="44">
      <x:c r="A44" t="str">
        <x:v>DIRIGIDA_EXCECAO</x:v>
      </x:c>
      <x:c r="B44" t="str">
        <x:v>ATV-0000543</x:v>
      </x:c>
      <x:c r="C44" t="str">
        <x:v>Veículos e equipamentos móveis</x:v>
      </x:c>
      <x:c r="D44" t="str">
        <x:v>Operação logística</x:v>
      </x:c>
      <x:c r="E44" t="str">
        <x:v>2012-10-13</x:v>
      </x:c>
      <x:c r="F44" t="str">
        <x:v>2012-11-15</x:v>
      </x:c>
      <x:c r="G44" t="str">
        <x:v>ATIVO</x:v>
      </x:c>
      <x:c r="H44" t="str">
        <x:v>RESP-043</x:v>
      </x:c>
      <x:c r="I44" t="str"/>
      <x:c r="J44" t="n">
        <x:v>73796.23</x:v>
      </x:c>
      <x:c r="K44" t="n">
        <x:v>42658.58</x:v>
      </x:c>
      <x:c r="L44" t="n">
        <x:v>31137.65</x:v>
      </x:c>
      <x:c r="M44" t="str">
        <x:v>SEM_DOCUMENTO</x:v>
      </x:c>
      <x:c r="N44" t="str">
        <x:v>SIMULADO</x:v>
      </x:c>
    </x:row>
    <x:row r="45">
      <x:c r="A45" t="str">
        <x:v>DIRIGIDA_EXCECAO</x:v>
      </x:c>
      <x:c r="B45" t="str">
        <x:v>ATV-0000544</x:v>
      </x:c>
      <x:c r="C45" t="str">
        <x:v>Edificações</x:v>
      </x:c>
      <x:c r="D45" t="str">
        <x:v>Outras unidades</x:v>
      </x:c>
      <x:c r="E45" t="str">
        <x:v>2025-05-11</x:v>
      </x:c>
      <x:c r="F45" t="str">
        <x:v>2025-08-10</x:v>
      </x:c>
      <x:c r="G45" t="str">
        <x:v>ATIVO</x:v>
      </x:c>
      <x:c r="H45" t="str">
        <x:v>RESP-044</x:v>
      </x:c>
      <x:c r="I45" t="str"/>
      <x:c r="J45" t="n">
        <x:v>45691.98</x:v>
      </x:c>
      <x:c r="K45" t="n">
        <x:v>18494.37</x:v>
      </x:c>
      <x:c r="L45" t="n">
        <x:v>27197.61</x:v>
      </x:c>
      <x:c r="M45" t="str">
        <x:v>SEM_DOCUMENTO</x:v>
      </x:c>
      <x:c r="N45" t="str">
        <x:v>SIMULADO</x:v>
      </x:c>
    </x:row>
    <x:row r="46">
      <x:c r="A46" t="str">
        <x:v>DIRIGIDA_EXCECAO</x:v>
      </x:c>
      <x:c r="B46" t="str">
        <x:v>ATV-0000545</x:v>
      </x:c>
      <x:c r="C46" t="str">
        <x:v>Infraestrutura de mina</x:v>
      </x:c>
      <x:c r="D46" t="str">
        <x:v>Congonhas/MG</x:v>
      </x:c>
      <x:c r="E46" t="str">
        <x:v>2013-10-19</x:v>
      </x:c>
      <x:c r="F46" t="str">
        <x:v>2014-02-01</x:v>
      </x:c>
      <x:c r="G46" t="str">
        <x:v>ATIVO</x:v>
      </x:c>
      <x:c r="H46" t="str">
        <x:v>RESP-045</x:v>
      </x:c>
      <x:c r="I46" t="str"/>
      <x:c r="J46" t="n">
        <x:v>44118.04</x:v>
      </x:c>
      <x:c r="K46" t="n">
        <x:v>7353</x:v>
      </x:c>
      <x:c r="L46" t="n">
        <x:v>36765.04</x:v>
      </x:c>
      <x:c r="M46" t="str">
        <x:v>SEM_DOCUMENTO</x:v>
      </x:c>
      <x:c r="N46" t="str">
        <x:v>SIMULADO</x:v>
      </x:c>
    </x:row>
    <x:row r="47">
      <x:c r="A47" t="str">
        <x:v>DIRIGIDA_EXCECAO</x:v>
      </x:c>
      <x:c r="B47" t="str">
        <x:v>ATV-0000546</x:v>
      </x:c>
      <x:c r="C47" t="str">
        <x:v>Direito de uso</x:v>
      </x:c>
      <x:c r="D47" t="str">
        <x:v>Arcos/MG</x:v>
      </x:c>
      <x:c r="E47" t="str">
        <x:v>2019-04-04</x:v>
      </x:c>
      <x:c r="F47" t="str">
        <x:v>2019-04-21</x:v>
      </x:c>
      <x:c r="G47" t="str">
        <x:v>ATIVO</x:v>
      </x:c>
      <x:c r="H47" t="str">
        <x:v>RESP-046</x:v>
      </x:c>
      <x:c r="I47" t="str"/>
      <x:c r="J47" t="n">
        <x:v>23780.72</x:v>
      </x:c>
      <x:c r="K47" t="n">
        <x:v>7820.5</x:v>
      </x:c>
      <x:c r="L47" t="n">
        <x:v>15960.22</x:v>
      </x:c>
      <x:c r="M47" t="str">
        <x:v>SEM_DOCUMENTO</x:v>
      </x:c>
      <x:c r="N47" t="str">
        <x:v>SIMULADO</x:v>
      </x:c>
    </x:row>
    <x:row r="48">
      <x:c r="A48" t="str">
        <x:v>DIRIGIDA_EXCECAO</x:v>
      </x:c>
      <x:c r="B48" t="str">
        <x:v>ATV-0000547</x:v>
      </x:c>
      <x:c r="C48" t="str">
        <x:v>Máquinas e equipamentos</x:v>
      </x:c>
      <x:c r="D48" t="str">
        <x:v>Operação logística</x:v>
      </x:c>
      <x:c r="E48" t="str">
        <x:v>2021-10-02</x:v>
      </x:c>
      <x:c r="F48" t="str">
        <x:v>2021-10-07</x:v>
      </x:c>
      <x:c r="G48" t="str">
        <x:v>ATIVO</x:v>
      </x:c>
      <x:c r="H48" t="str">
        <x:v>RESP-047</x:v>
      </x:c>
      <x:c r="I48" t="str"/>
      <x:c r="J48" t="n">
        <x:v>24850.26</x:v>
      </x:c>
      <x:c r="K48" t="n">
        <x:v>13756.39</x:v>
      </x:c>
      <x:c r="L48" t="n">
        <x:v>11093.87</x:v>
      </x:c>
      <x:c r="M48" t="str">
        <x:v>SEM_DOCUMENTO</x:v>
      </x:c>
      <x:c r="N48" t="str">
        <x:v>SIMULADO</x:v>
      </x:c>
    </x:row>
    <x:row r="49">
      <x:c r="A49" t="str">
        <x:v>DIRIGIDA_EXCECAO</x:v>
      </x:c>
      <x:c r="B49" t="str">
        <x:v>ATV-0000548</x:v>
      </x:c>
      <x:c r="C49" t="str">
        <x:v>Instalações industriais</x:v>
      </x:c>
      <x:c r="D49" t="str">
        <x:v>Outras unidades</x:v>
      </x:c>
      <x:c r="E49" t="str">
        <x:v>2020-10-03</x:v>
      </x:c>
      <x:c r="F49" t="str">
        <x:v>2021-01-05</x:v>
      </x:c>
      <x:c r="G49" t="str">
        <x:v>ATIVO</x:v>
      </x:c>
      <x:c r="H49" t="str">
        <x:v>RESP-048</x:v>
      </x:c>
      <x:c r="I49" t="str"/>
      <x:c r="J49" t="n">
        <x:v>43362.22</x:v>
      </x:c>
      <x:c r="K49" t="n">
        <x:v>17704.1</x:v>
      </x:c>
      <x:c r="L49" t="n">
        <x:v>25658.12</x:v>
      </x:c>
      <x:c r="M49" t="str">
        <x:v>SEM_DOCUMENTO</x:v>
      </x:c>
      <x:c r="N49" t="str">
        <x:v>SIMULADO</x:v>
      </x:c>
    </x:row>
    <x:row r="50">
      <x:c r="A50" t="str">
        <x:v>DIRIGIDA_EXCECAO</x:v>
      </x:c>
      <x:c r="B50" t="str">
        <x:v>ATV-0000549</x:v>
      </x:c>
      <x:c r="C50" t="str">
        <x:v>Obras em andamento</x:v>
      </x:c>
      <x:c r="D50" t="str">
        <x:v>Congonhas/MG</x:v>
      </x:c>
      <x:c r="E50" t="str">
        <x:v>2016-07-23</x:v>
      </x:c>
      <x:c r="F50" t="str">
        <x:v>2017-01-03</x:v>
      </x:c>
      <x:c r="G50" t="str">
        <x:v>ATIVO</x:v>
      </x:c>
      <x:c r="H50" t="str">
        <x:v>RESP-049</x:v>
      </x:c>
      <x:c r="I50" t="str"/>
      <x:c r="J50" t="n">
        <x:v>15038.27</x:v>
      </x:c>
      <x:c r="K50" t="n">
        <x:v>0</x:v>
      </x:c>
      <x:c r="L50" t="n">
        <x:v>15038.27</x:v>
      </x:c>
      <x:c r="M50" t="str">
        <x:v>SEM_DOCUMENTO</x:v>
      </x:c>
      <x:c r="N50" t="str">
        <x:v>SIMULADO</x:v>
      </x:c>
    </x:row>
    <x:row r="51">
      <x:c r="A51" t="str">
        <x:v>DIRIGIDA_EXCECAO</x:v>
      </x:c>
      <x:c r="B51" t="str">
        <x:v>ATV-0000550</x:v>
      </x:c>
      <x:c r="C51" t="str">
        <x:v>Veículos e equipamentos móveis</x:v>
      </x:c>
      <x:c r="D51" t="str">
        <x:v>Arcos/MG</x:v>
      </x:c>
      <x:c r="E51" t="str">
        <x:v>2015-04-17</x:v>
      </x:c>
      <x:c r="F51" t="str">
        <x:v>2015-08-20</x:v>
      </x:c>
      <x:c r="G51" t="str">
        <x:v>ATIVO</x:v>
      </x:c>
      <x:c r="H51" t="str">
        <x:v>RESP-050</x:v>
      </x:c>
      <x:c r="I51" t="str"/>
      <x:c r="J51" t="n">
        <x:v>61426.14</x:v>
      </x:c>
      <x:c r="K51" t="n">
        <x:v>18168.29</x:v>
      </x:c>
      <x:c r="L51" t="n">
        <x:v>43257.85</x:v>
      </x:c>
      <x:c r="M51" t="str">
        <x:v>SEM_DOCUMENTO</x:v>
      </x:c>
      <x:c r="N51" t="str">
        <x:v>SIMULADO</x:v>
      </x:c>
    </x:row>
    <x:row r="52">
      <x:c r="A52" t="str">
        <x:v>DIRIGIDA_EXCECAO</x:v>
      </x:c>
      <x:c r="B52" t="str">
        <x:v>ATV-0000551</x:v>
      </x:c>
      <x:c r="C52" t="str">
        <x:v>Edificações</x:v>
      </x:c>
      <x:c r="D52" t="str">
        <x:v>Operação logística</x:v>
      </x:c>
      <x:c r="E52" t="str">
        <x:v>2013-06-16</x:v>
      </x:c>
      <x:c r="F52" t="str">
        <x:v>2013-10-08</x:v>
      </x:c>
      <x:c r="G52" t="str">
        <x:v>ATIVO</x:v>
      </x:c>
      <x:c r="H52" t="str">
        <x:v>RESP-051</x:v>
      </x:c>
      <x:c r="I52" t="str"/>
      <x:c r="J52" t="n">
        <x:v>79380.14</x:v>
      </x:c>
      <x:c r="K52" t="n">
        <x:v>41580.07</x:v>
      </x:c>
      <x:c r="L52" t="n">
        <x:v>37800.07</x:v>
      </x:c>
      <x:c r="M52" t="str">
        <x:v>SEM_DOCUMENTO</x:v>
      </x:c>
      <x:c r="N52" t="str">
        <x:v>SIMULADO</x:v>
      </x:c>
    </x:row>
    <x:row r="53">
      <x:c r="A53" t="str">
        <x:v>DIRIGIDA_EXCECAO</x:v>
      </x:c>
      <x:c r="B53" t="str">
        <x:v>ATV-0000552</x:v>
      </x:c>
      <x:c r="C53" t="str">
        <x:v>Infraestrutura de mina</x:v>
      </x:c>
      <x:c r="D53" t="str">
        <x:v>Outras unidades</x:v>
      </x:c>
      <x:c r="E53" t="str">
        <x:v>2017-12-01</x:v>
      </x:c>
      <x:c r="F53" t="str">
        <x:v>2018-03-01</x:v>
      </x:c>
      <x:c r="G53" t="str">
        <x:v>ATIVO</x:v>
      </x:c>
      <x:c r="H53" t="str">
        <x:v>RESP-052</x:v>
      </x:c>
      <x:c r="I53" t="str"/>
      <x:c r="J53" t="n">
        <x:v>82839.37</x:v>
      </x:c>
      <x:c r="K53" t="n">
        <x:v>49301.16</x:v>
      </x:c>
      <x:c r="L53" t="n">
        <x:v>33538.21</x:v>
      </x:c>
      <x:c r="M53" t="str">
        <x:v>SEM_DOCUMENTO</x:v>
      </x:c>
      <x:c r="N53" t="str">
        <x:v>SIMULADO</x:v>
      </x:c>
    </x:row>
    <x:row r="54">
      <x:c r="A54" t="str">
        <x:v>DIRIGIDA_EXCECAO</x:v>
      </x:c>
      <x:c r="B54" t="str">
        <x:v>ATV-0000553</x:v>
      </x:c>
      <x:c r="C54" t="str">
        <x:v>Direito de uso</x:v>
      </x:c>
      <x:c r="D54" t="str">
        <x:v>Congonhas/MG</x:v>
      </x:c>
      <x:c r="E54" t="str">
        <x:v>2013-10-28</x:v>
      </x:c>
      <x:c r="F54" t="str">
        <x:v>2013-11-19</x:v>
      </x:c>
      <x:c r="G54" t="str">
        <x:v>ATIVO</x:v>
      </x:c>
      <x:c r="H54" t="str">
        <x:v>RESP-053</x:v>
      </x:c>
      <x:c r="I54" t="str"/>
      <x:c r="J54" t="n">
        <x:v>20569.36</x:v>
      </x:c>
      <x:c r="K54" t="n">
        <x:v>8540.49</x:v>
      </x:c>
      <x:c r="L54" t="n">
        <x:v>12028.87</x:v>
      </x:c>
      <x:c r="M54" t="str">
        <x:v>SEM_DOCUMENTO</x:v>
      </x:c>
      <x:c r="N54" t="str">
        <x:v>SIMULADO</x:v>
      </x:c>
    </x:row>
    <x:row r="55">
      <x:c r="A55" t="str">
        <x:v>DIRIGIDA_EXCECAO</x:v>
      </x:c>
      <x:c r="B55" t="str">
        <x:v>ATV-0000554</x:v>
      </x:c>
      <x:c r="C55" t="str">
        <x:v>Máquinas e equipamentos</x:v>
      </x:c>
      <x:c r="D55" t="str">
        <x:v>Arcos/MG</x:v>
      </x:c>
      <x:c r="E55" t="str">
        <x:v>2020-04-26</x:v>
      </x:c>
      <x:c r="F55" t="str">
        <x:v>2020-09-24</x:v>
      </x:c>
      <x:c r="G55" t="str">
        <x:v>ATIVO</x:v>
      </x:c>
      <x:c r="H55" t="str">
        <x:v>RESP-054</x:v>
      </x:c>
      <x:c r="I55" t="str"/>
      <x:c r="J55" t="n">
        <x:v>20000.35</x:v>
      </x:c>
      <x:c r="K55" t="n">
        <x:v>11189.62</x:v>
      </x:c>
      <x:c r="L55" t="n">
        <x:v>8810.73</x:v>
      </x:c>
      <x:c r="M55" t="str">
        <x:v>SEM_DOCUMENTO</x:v>
      </x:c>
      <x:c r="N55" t="str">
        <x:v>SIMULADO</x:v>
      </x:c>
    </x:row>
    <x:row r="56">
      <x:c r="A56" t="str">
        <x:v>DIRIGIDA_EXCECAO</x:v>
      </x:c>
      <x:c r="B56" t="str">
        <x:v>ATV-0000555</x:v>
      </x:c>
      <x:c r="C56" t="str">
        <x:v>Instalações industriais</x:v>
      </x:c>
      <x:c r="D56" t="str">
        <x:v>Operação logística</x:v>
      </x:c>
      <x:c r="E56" t="str">
        <x:v>2022-07-29</x:v>
      </x:c>
      <x:c r="F56" t="str">
        <x:v>2022-09-30</x:v>
      </x:c>
      <x:c r="G56" t="str">
        <x:v>ATIVO</x:v>
      </x:c>
      <x:c r="H56" t="str">
        <x:v>RESP-055</x:v>
      </x:c>
      <x:c r="I56" t="str"/>
      <x:c r="J56" t="n">
        <x:v>90455.75</x:v>
      </x:c>
      <x:c r="K56" t="n">
        <x:v>54273.45</x:v>
      </x:c>
      <x:c r="L56" t="n">
        <x:v>36182.3</x:v>
      </x:c>
      <x:c r="M56" t="str">
        <x:v>SEM_DOCUMENTO</x:v>
      </x:c>
      <x:c r="N56" t="str">
        <x:v>SIMULADO</x:v>
      </x:c>
    </x:row>
    <x:row r="57">
      <x:c r="A57" t="str">
        <x:v>DIRIGIDA_EXCECAO</x:v>
      </x:c>
      <x:c r="B57" t="str">
        <x:v>ATV-0000556</x:v>
      </x:c>
      <x:c r="C57" t="str">
        <x:v>Obras em andamento</x:v>
      </x:c>
      <x:c r="D57" t="str">
        <x:v>Outras unidades</x:v>
      </x:c>
      <x:c r="E57" t="str">
        <x:v>2023-01-05</x:v>
      </x:c>
      <x:c r="F57" t="str">
        <x:v>2023-02-07</x:v>
      </x:c>
      <x:c r="G57" t="str">
        <x:v>ATIVO</x:v>
      </x:c>
      <x:c r="H57" t="str">
        <x:v>RESP-056</x:v>
      </x:c>
      <x:c r="I57" t="str"/>
      <x:c r="J57" t="n">
        <x:v>8062.73</x:v>
      </x:c>
      <x:c r="K57" t="n">
        <x:v>0</x:v>
      </x:c>
      <x:c r="L57" t="n">
        <x:v>8062.73</x:v>
      </x:c>
      <x:c r="M57" t="str">
        <x:v>SEM_DOCUMENTO</x:v>
      </x:c>
      <x:c r="N57" t="str">
        <x:v>SIMULADO</x:v>
      </x:c>
    </x:row>
    <x:row r="58">
      <x:c r="A58" t="str">
        <x:v>DIRIGIDA_EXCECAO</x:v>
      </x:c>
      <x:c r="B58" t="str">
        <x:v>ATV-0000557</x:v>
      </x:c>
      <x:c r="C58" t="str">
        <x:v>Veículos e equipamentos móveis</x:v>
      </x:c>
      <x:c r="D58" t="str">
        <x:v>Congonhas/MG</x:v>
      </x:c>
      <x:c r="E58" t="str">
        <x:v>2014-10-29</x:v>
      </x:c>
      <x:c r="F58" t="str">
        <x:v>2015-01-25</x:v>
      </x:c>
      <x:c r="G58" t="str">
        <x:v>ATIVO</x:v>
      </x:c>
      <x:c r="H58" t="str">
        <x:v>RESP-057</x:v>
      </x:c>
      <x:c r="I58" t="str"/>
      <x:c r="J58" t="n">
        <x:v>26453.94</x:v>
      </x:c>
      <x:c r="K58" t="n">
        <x:v>14429.42</x:v>
      </x:c>
      <x:c r="L58" t="n">
        <x:v>12024.52</x:v>
      </x:c>
      <x:c r="M58" t="str">
        <x:v>SEM_DOCUMENTO</x:v>
      </x:c>
      <x:c r="N58" t="str">
        <x:v>SIMULADO</x:v>
      </x:c>
    </x:row>
    <x:row r="59">
      <x:c r="A59" t="str">
        <x:v>DIRIGIDA_EXCECAO</x:v>
      </x:c>
      <x:c r="B59" t="str">
        <x:v>ATV-0000558</x:v>
      </x:c>
      <x:c r="C59" t="str">
        <x:v>Edificações</x:v>
      </x:c>
      <x:c r="D59" t="str">
        <x:v>Arcos/MG</x:v>
      </x:c>
      <x:c r="E59" t="str">
        <x:v>2020-02-02</x:v>
      </x:c>
      <x:c r="F59" t="str">
        <x:v>2020-03-09</x:v>
      </x:c>
      <x:c r="G59" t="str">
        <x:v>ATIVO</x:v>
      </x:c>
      <x:c r="H59" t="str">
        <x:v>RESP-058</x:v>
      </x:c>
      <x:c r="I59" t="str"/>
      <x:c r="J59" t="n">
        <x:v>30499.24</x:v>
      </x:c>
      <x:c r="K59" t="n">
        <x:v>15017.39</x:v>
      </x:c>
      <x:c r="L59" t="n">
        <x:v>15481.85</x:v>
      </x:c>
      <x:c r="M59" t="str">
        <x:v>SEM_DOCUMENTO</x:v>
      </x:c>
      <x:c r="N59" t="str">
        <x:v>SIMULADO</x:v>
      </x:c>
    </x:row>
    <x:row r="60">
      <x:c r="A60" t="str">
        <x:v>DIRIGIDA_EXCECAO</x:v>
      </x:c>
      <x:c r="B60" t="str">
        <x:v>ATV-0000559</x:v>
      </x:c>
      <x:c r="C60" t="str">
        <x:v>Infraestrutura de mina</x:v>
      </x:c>
      <x:c r="D60" t="str">
        <x:v>Operação logística</x:v>
      </x:c>
      <x:c r="E60" t="str">
        <x:v>2015-01-29</x:v>
      </x:c>
      <x:c r="F60" t="str">
        <x:v>2015-04-24</x:v>
      </x:c>
      <x:c r="G60" t="str">
        <x:v>ATIVO</x:v>
      </x:c>
      <x:c r="H60" t="str">
        <x:v>RESP-059</x:v>
      </x:c>
      <x:c r="I60" t="str"/>
      <x:c r="J60" t="n">
        <x:v>100861.72</x:v>
      </x:c>
      <x:c r="K60" t="n">
        <x:v>58304.03</x:v>
      </x:c>
      <x:c r="L60" t="n">
        <x:v>42557.69</x:v>
      </x:c>
      <x:c r="M60" t="str">
        <x:v>SEM_DOCUMENTO</x:v>
      </x:c>
      <x:c r="N60" t="str">
        <x:v>SIMULADO</x:v>
      </x:c>
    </x:row>
    <x:row r="61">
      <x:c r="A61" t="str">
        <x:v>DIRIGIDA_EXCECAO</x:v>
      </x:c>
      <x:c r="B61" t="str">
        <x:v>ATV-0000560</x:v>
      </x:c>
      <x:c r="C61" t="str">
        <x:v>Direito de uso</x:v>
      </x:c>
      <x:c r="D61" t="str">
        <x:v>Outras unidades</x:v>
      </x:c>
      <x:c r="E61" t="str">
        <x:v>2014-07-01</x:v>
      </x:c>
      <x:c r="F61" t="str">
        <x:v>2014-11-28</x:v>
      </x:c>
      <x:c r="G61" t="str">
        <x:v>ATIVO</x:v>
      </x:c>
      <x:c r="H61" t="str">
        <x:v>RESP-060</x:v>
      </x:c>
      <x:c r="I61" t="str"/>
      <x:c r="J61" t="n">
        <x:v>53568.03</x:v>
      </x:c>
      <x:c r="K61" t="n">
        <x:v>28418.72</x:v>
      </x:c>
      <x:c r="L61" t="n">
        <x:v>25149.31</x:v>
      </x:c>
      <x:c r="M61" t="str">
        <x:v>SEM_DOCUMENTO</x:v>
      </x:c>
      <x:c r="N61" t="str">
        <x:v>SIMULADO</x:v>
      </x:c>
    </x:row>
    <x:row r="62">
      <x:c r="A62" t="str">
        <x:v>DIRIGIDA_EXCECAO</x:v>
      </x:c>
      <x:c r="B62" t="str">
        <x:v>ATV-0000561</x:v>
      </x:c>
      <x:c r="C62" t="str">
        <x:v>Máquinas e equipamentos</x:v>
      </x:c>
      <x:c r="D62" t="str">
        <x:v>Congonhas/MG</x:v>
      </x:c>
      <x:c r="E62" t="str">
        <x:v>2015-08-26</x:v>
      </x:c>
      <x:c r="F62" t="str">
        <x:v>2015-09-29</x:v>
      </x:c>
      <x:c r="G62" t="str">
        <x:v>ATIVO</x:v>
      </x:c>
      <x:c r="H62" t="str">
        <x:v>RESP-061</x:v>
      </x:c>
      <x:c r="I62" t="str"/>
      <x:c r="J62" t="n">
        <x:v>9312.98</x:v>
      </x:c>
      <x:c r="K62" t="n">
        <x:v>5098.96</x:v>
      </x:c>
      <x:c r="L62" t="n">
        <x:v>4214.02</x:v>
      </x:c>
      <x:c r="M62" t="str">
        <x:v>SEM_DOCUMENTO</x:v>
      </x:c>
      <x:c r="N62" t="str">
        <x:v>SIMULADO</x:v>
      </x:c>
    </x:row>
    <x:row r="63">
      <x:c r="A63" t="str">
        <x:v>DIRIGIDA_EXCECAO</x:v>
      </x:c>
      <x:c r="B63" t="str">
        <x:v>ATV-0000562</x:v>
      </x:c>
      <x:c r="C63" t="str">
        <x:v>Instalações industriais</x:v>
      </x:c>
      <x:c r="D63" t="str">
        <x:v>Arcos/MG</x:v>
      </x:c>
      <x:c r="E63" t="str">
        <x:v>2023-02-16</x:v>
      </x:c>
      <x:c r="F63" t="str">
        <x:v>2023-05-23</x:v>
      </x:c>
      <x:c r="G63" t="str">
        <x:v>ATIVO</x:v>
      </x:c>
      <x:c r="H63" t="str">
        <x:v>RESP-062</x:v>
      </x:c>
      <x:c r="I63" t="str"/>
      <x:c r="J63" t="n">
        <x:v>9486.49</x:v>
      </x:c>
      <x:c r="K63" t="n">
        <x:v>2132.62</x:v>
      </x:c>
      <x:c r="L63" t="n">
        <x:v>7353.87</x:v>
      </x:c>
      <x:c r="M63" t="str">
        <x:v>SEM_DOCUMENTO</x:v>
      </x:c>
      <x:c r="N63" t="str">
        <x:v>SIMULADO</x:v>
      </x:c>
    </x:row>
    <x:row r="64">
      <x:c r="A64" t="str">
        <x:v>DIRIGIDA_EXCECAO</x:v>
      </x:c>
      <x:c r="B64" t="str">
        <x:v>ATV-0000563</x:v>
      </x:c>
      <x:c r="C64" t="str">
        <x:v>Obras em andamento</x:v>
      </x:c>
      <x:c r="D64" t="str">
        <x:v>Operação logística</x:v>
      </x:c>
      <x:c r="E64" t="str">
        <x:v>2017-10-23</x:v>
      </x:c>
      <x:c r="F64" t="str">
        <x:v>2018-03-01</x:v>
      </x:c>
      <x:c r="G64" t="str">
        <x:v>ATIVO</x:v>
      </x:c>
      <x:c r="H64" t="str">
        <x:v>RESP-063</x:v>
      </x:c>
      <x:c r="I64" t="str"/>
      <x:c r="J64" t="n">
        <x:v>4566.27</x:v>
      </x:c>
      <x:c r="K64" t="n">
        <x:v>0</x:v>
      </x:c>
      <x:c r="L64" t="n">
        <x:v>4566.27</x:v>
      </x:c>
      <x:c r="M64" t="str">
        <x:v>SEM_DOCUMENTO</x:v>
      </x:c>
      <x:c r="N64" t="str">
        <x:v>SIMULADO</x:v>
      </x:c>
    </x:row>
    <x:row r="65">
      <x:c r="A65" t="str">
        <x:v>DIRIGIDA_EXCECAO</x:v>
      </x:c>
      <x:c r="B65" t="str">
        <x:v>ATV-0000564</x:v>
      </x:c>
      <x:c r="C65" t="str">
        <x:v>Veículos e equipamentos móveis</x:v>
      </x:c>
      <x:c r="D65" t="str">
        <x:v>Outras unidades</x:v>
      </x:c>
      <x:c r="E65" t="str">
        <x:v>2012-07-11</x:v>
      </x:c>
      <x:c r="F65" t="str">
        <x:v>2012-07-26</x:v>
      </x:c>
      <x:c r="G65" t="str">
        <x:v>ATIVO</x:v>
      </x:c>
      <x:c r="H65" t="str">
        <x:v>RESP-064</x:v>
      </x:c>
      <x:c r="I65" t="str"/>
      <x:c r="J65" t="n">
        <x:v>46848.42</x:v>
      </x:c>
      <x:c r="K65" t="n">
        <x:v>14314.79</x:v>
      </x:c>
      <x:c r="L65" t="n">
        <x:v>32533.63</x:v>
      </x:c>
      <x:c r="M65" t="str">
        <x:v>SEM_DOCUMENTO</x:v>
      </x:c>
      <x:c r="N65" t="str">
        <x:v>SIMULADO</x:v>
      </x:c>
    </x:row>
    <x:row r="66">
      <x:c r="A66" t="str">
        <x:v>DIRIGIDA_EXCECAO</x:v>
      </x:c>
      <x:c r="B66" t="str">
        <x:v>ATV-0000565</x:v>
      </x:c>
      <x:c r="C66" t="str">
        <x:v>Edificações</x:v>
      </x:c>
      <x:c r="D66" t="str">
        <x:v>Congonhas/MG</x:v>
      </x:c>
      <x:c r="E66" t="str">
        <x:v>2015-10-29</x:v>
      </x:c>
      <x:c r="F66" t="str">
        <x:v>2016-02-20</x:v>
      </x:c>
      <x:c r="G66" t="str">
        <x:v>ATIVO</x:v>
      </x:c>
      <x:c r="H66" t="str">
        <x:v>RESP-065</x:v>
      </x:c>
      <x:c r="I66" t="str"/>
      <x:c r="J66" t="n">
        <x:v>16177.99</x:v>
      </x:c>
      <x:c r="K66" t="n">
        <x:v>7923.91</x:v>
      </x:c>
      <x:c r="L66" t="n">
        <x:v>8254.08</x:v>
      </x:c>
      <x:c r="M66" t="str">
        <x:v>SEM_DOCUMENTO</x:v>
      </x:c>
      <x:c r="N66" t="str">
        <x:v>SIMULADO</x:v>
      </x:c>
    </x:row>
    <x:row r="67">
      <x:c r="A67" t="str">
        <x:v>DIRIGIDA_EXCECAO</x:v>
      </x:c>
      <x:c r="B67" t="str">
        <x:v>ATV-0000566</x:v>
      </x:c>
      <x:c r="C67" t="str">
        <x:v>Infraestrutura de mina</x:v>
      </x:c>
      <x:c r="D67" t="str">
        <x:v>Arcos/MG</x:v>
      </x:c>
      <x:c r="E67" t="str">
        <x:v>2020-12-31</x:v>
      </x:c>
      <x:c r="F67" t="str">
        <x:v>2021-01-20</x:v>
      </x:c>
      <x:c r="G67" t="str">
        <x:v>ATIVO</x:v>
      </x:c>
      <x:c r="H67" t="str">
        <x:v>RESP-066</x:v>
      </x:c>
      <x:c r="I67" t="str"/>
      <x:c r="J67" t="n">
        <x:v>54190.98</x:v>
      </x:c>
      <x:c r="K67" t="n">
        <x:v>29102.56</x:v>
      </x:c>
      <x:c r="L67" t="n">
        <x:v>25088.42</x:v>
      </x:c>
      <x:c r="M67" t="str">
        <x:v>SEM_DOCUMENTO</x:v>
      </x:c>
      <x:c r="N67" t="str">
        <x:v>SIMULADO</x:v>
      </x:c>
    </x:row>
    <x:row r="68">
      <x:c r="A68" t="str">
        <x:v>DIRIGIDA_EXCECAO</x:v>
      </x:c>
      <x:c r="B68" t="str">
        <x:v>ATV-0000567</x:v>
      </x:c>
      <x:c r="C68" t="str">
        <x:v>Direito de uso</x:v>
      </x:c>
      <x:c r="D68" t="str">
        <x:v>Operação logística</x:v>
      </x:c>
      <x:c r="E68" t="str">
        <x:v>2020-07-24</x:v>
      </x:c>
      <x:c r="F68" t="str">
        <x:v>2020-11-16</x:v>
      </x:c>
      <x:c r="G68" t="str">
        <x:v>ATIVO</x:v>
      </x:c>
      <x:c r="H68" t="str">
        <x:v>RESP-067</x:v>
      </x:c>
      <x:c r="I68" t="str"/>
      <x:c r="J68" t="n">
        <x:v>36961.38</x:v>
      </x:c>
      <x:c r="K68" t="n">
        <x:v>14560.54</x:v>
      </x:c>
      <x:c r="L68" t="n">
        <x:v>22400.84</x:v>
      </x:c>
      <x:c r="M68" t="str">
        <x:v>SEM_DOCUMENTO</x:v>
      </x:c>
      <x:c r="N68" t="str">
        <x:v>SIMULADO</x:v>
      </x:c>
    </x:row>
    <x:row r="69">
      <x:c r="A69" t="str">
        <x:v>DIRIGIDA_EXCECAO</x:v>
      </x:c>
      <x:c r="B69" t="str">
        <x:v>ATV-0000568</x:v>
      </x:c>
      <x:c r="C69" t="str">
        <x:v>Máquinas e equipamentos</x:v>
      </x:c>
      <x:c r="D69" t="str">
        <x:v>Outras unidades</x:v>
      </x:c>
      <x:c r="E69" t="str">
        <x:v>2015-09-30</x:v>
      </x:c>
      <x:c r="F69" t="str">
        <x:v>2016-02-19</x:v>
      </x:c>
      <x:c r="G69" t="str">
        <x:v>ATIVO</x:v>
      </x:c>
      <x:c r="H69" t="str">
        <x:v>RESP-068</x:v>
      </x:c>
      <x:c r="I69" t="str"/>
      <x:c r="J69" t="n">
        <x:v>29925.22</x:v>
      </x:c>
      <x:c r="K69" t="n">
        <x:v>14734.75</x:v>
      </x:c>
      <x:c r="L69" t="n">
        <x:v>15190.47</x:v>
      </x:c>
      <x:c r="M69" t="str">
        <x:v>SEM_DOCUMENTO</x:v>
      </x:c>
      <x:c r="N69" t="str">
        <x:v>SIMULADO</x:v>
      </x:c>
    </x:row>
    <x:row r="70">
      <x:c r="A70" t="str">
        <x:v>DIRIGIDA_EXCECAO</x:v>
      </x:c>
      <x:c r="B70" t="str">
        <x:v>ATV-0000569</x:v>
      </x:c>
      <x:c r="C70" t="str">
        <x:v>Instalações industriais</x:v>
      </x:c>
      <x:c r="D70" t="str">
        <x:v>Congonhas/MG</x:v>
      </x:c>
      <x:c r="E70" t="str">
        <x:v>2017-09-17</x:v>
      </x:c>
      <x:c r="F70" t="str">
        <x:v>2017-12-06</x:v>
      </x:c>
      <x:c r="G70" t="str">
        <x:v>ATIVO</x:v>
      </x:c>
      <x:c r="H70" t="str">
        <x:v>RESP-069</x:v>
      </x:c>
      <x:c r="I70" t="str"/>
      <x:c r="J70" t="n">
        <x:v>59019.68</x:v>
      </x:c>
      <x:c r="K70" t="n">
        <x:v>26412.12</x:v>
      </x:c>
      <x:c r="L70" t="n">
        <x:v>32607.56</x:v>
      </x:c>
      <x:c r="M70" t="str">
        <x:v>SEM_DOCUMENTO</x:v>
      </x:c>
      <x:c r="N70" t="str">
        <x:v>SIMULADO</x:v>
      </x:c>
    </x:row>
    <x:row r="71">
      <x:c r="A71" t="str">
        <x:v>DIRIGIDA_EXCECAO</x:v>
      </x:c>
      <x:c r="B71" t="str">
        <x:v>ATV-0000570</x:v>
      </x:c>
      <x:c r="C71" t="str">
        <x:v>Obras em andamento</x:v>
      </x:c>
      <x:c r="D71" t="str">
        <x:v>Arcos/MG</x:v>
      </x:c>
      <x:c r="E71" t="str">
        <x:v>2021-12-18</x:v>
      </x:c>
      <x:c r="F71" t="str">
        <x:v>2022-06-07</x:v>
      </x:c>
      <x:c r="G71" t="str">
        <x:v>ATIVO</x:v>
      </x:c>
      <x:c r="H71" t="str">
        <x:v>RESP-070</x:v>
      </x:c>
      <x:c r="I71" t="str"/>
      <x:c r="J71" t="n">
        <x:v>19800.24</x:v>
      </x:c>
      <x:c r="K71" t="n">
        <x:v>0</x:v>
      </x:c>
      <x:c r="L71" t="n">
        <x:v>19800.24</x:v>
      </x:c>
      <x:c r="M71" t="str">
        <x:v>SEM_DOCUMENTO</x:v>
      </x:c>
      <x:c r="N71" t="str">
        <x:v>SIMULADO</x:v>
      </x:c>
    </x:row>
    <x:row r="72">
      <x:c r="A72" t="str">
        <x:v>DIRIGIDA_EXCECAO</x:v>
      </x:c>
      <x:c r="B72" t="str">
        <x:v>ATV-0001501</x:v>
      </x:c>
      <x:c r="C72" t="str">
        <x:v>Obras em andamento</x:v>
      </x:c>
      <x:c r="D72" t="str"/>
      <x:c r="E72" t="str">
        <x:v>2012-12-20</x:v>
      </x:c>
      <x:c r="F72" t="str">
        <x:v>2013-01-15</x:v>
      </x:c>
      <x:c r="G72" t="str">
        <x:v>ATIVO</x:v>
      </x:c>
      <x:c r="H72" t="str">
        <x:v>RESP-001</x:v>
      </x:c>
      <x:c r="I72" t="str">
        <x:v>DOC-SIM-0001501</x:v>
      </x:c>
      <x:c r="J72" t="n">
        <x:v>41279.13</x:v>
      </x:c>
      <x:c r="K72" t="n">
        <x:v>0</x:v>
      </x:c>
      <x:c r="L72" t="n">
        <x:v>41279.13</x:v>
      </x:c>
      <x:c r="M72" t="str">
        <x:v>SEM_LOCALIZACAO</x:v>
      </x:c>
      <x:c r="N72" t="str">
        <x:v>SIMULADO</x:v>
      </x:c>
    </x:row>
    <x:row r="73">
      <x:c r="A73" t="str">
        <x:v>DIRIGIDA_EXCECAO</x:v>
      </x:c>
      <x:c r="B73" t="str">
        <x:v>ATV-0001502</x:v>
      </x:c>
      <x:c r="C73" t="str">
        <x:v>Veículos e equipamentos móveis</x:v>
      </x:c>
      <x:c r="D73" t="str"/>
      <x:c r="E73" t="str">
        <x:v>2023-11-15</x:v>
      </x:c>
      <x:c r="F73" t="str">
        <x:v>2024-01-21</x:v>
      </x:c>
      <x:c r="G73" t="str">
        <x:v>ATIVO</x:v>
      </x:c>
      <x:c r="H73" t="str">
        <x:v>RESP-002</x:v>
      </x:c>
      <x:c r="I73" t="str">
        <x:v>DOC-SIM-0001502</x:v>
      </x:c>
      <x:c r="J73" t="n">
        <x:v>31362.05</x:v>
      </x:c>
      <x:c r="K73" t="n">
        <x:v>17106.57</x:v>
      </x:c>
      <x:c r="L73" t="n">
        <x:v>14255.48</x:v>
      </x:c>
      <x:c r="M73" t="str">
        <x:v>SEM_LOCALIZACAO</x:v>
      </x:c>
      <x:c r="N73" t="str">
        <x:v>SIMULADO</x:v>
      </x:c>
    </x:row>
    <x:row r="74">
      <x:c r="A74" t="str">
        <x:v>DIRIGIDA_EXCECAO</x:v>
      </x:c>
      <x:c r="B74" t="str">
        <x:v>ATV-0001503</x:v>
      </x:c>
      <x:c r="C74" t="str">
        <x:v>Edificações</x:v>
      </x:c>
      <x:c r="D74" t="str"/>
      <x:c r="E74" t="str">
        <x:v>2021-02-09</x:v>
      </x:c>
      <x:c r="F74" t="str">
        <x:v>2021-05-16</x:v>
      </x:c>
      <x:c r="G74" t="str">
        <x:v>ATIVO</x:v>
      </x:c>
      <x:c r="H74" t="str">
        <x:v>RESP-003</x:v>
      </x:c>
      <x:c r="I74" t="str">
        <x:v>DOC-SIM-0001503</x:v>
      </x:c>
      <x:c r="J74" t="n">
        <x:v>54062.62</x:v>
      </x:c>
      <x:c r="K74" t="n">
        <x:v>16519.13</x:v>
      </x:c>
      <x:c r="L74" t="n">
        <x:v>37543.49</x:v>
      </x:c>
      <x:c r="M74" t="str">
        <x:v>SEM_LOCALIZACAO</x:v>
      </x:c>
      <x:c r="N74" t="str">
        <x:v>SIMULADO</x:v>
      </x:c>
    </x:row>
    <x:row r="75">
      <x:c r="A75" t="str">
        <x:v>DIRIGIDA_EXCECAO</x:v>
      </x:c>
      <x:c r="B75" t="str">
        <x:v>ATV-0001504</x:v>
      </x:c>
      <x:c r="C75" t="str">
        <x:v>Infraestrutura de mina</x:v>
      </x:c>
      <x:c r="D75" t="str"/>
      <x:c r="E75" t="str">
        <x:v>2015-10-04</x:v>
      </x:c>
      <x:c r="F75" t="str">
        <x:v>2016-01-01</x:v>
      </x:c>
      <x:c r="G75" t="str">
        <x:v>ATIVO</x:v>
      </x:c>
      <x:c r="H75" t="str">
        <x:v>RESP-004</x:v>
      </x:c>
      <x:c r="I75" t="str">
        <x:v>DOC-SIM-0001504</x:v>
      </x:c>
      <x:c r="J75" t="n">
        <x:v>22842.33</x:v>
      </x:c>
      <x:c r="K75" t="n">
        <x:v>7408.32</x:v>
      </x:c>
      <x:c r="L75" t="n">
        <x:v>15434.01</x:v>
      </x:c>
      <x:c r="M75" t="str">
        <x:v>SEM_LOCALIZACAO</x:v>
      </x:c>
      <x:c r="N75" t="str">
        <x:v>SIMULADO</x:v>
      </x:c>
    </x:row>
    <x:row r="76">
      <x:c r="A76" t="str">
        <x:v>DIRIGIDA_EXCECAO</x:v>
      </x:c>
      <x:c r="B76" t="str">
        <x:v>ATV-0001505</x:v>
      </x:c>
      <x:c r="C76" t="str">
        <x:v>Direito de uso</x:v>
      </x:c>
      <x:c r="D76" t="str"/>
      <x:c r="E76" t="str">
        <x:v>2015-10-30</x:v>
      </x:c>
      <x:c r="F76" t="str">
        <x:v>2015-11-14</x:v>
      </x:c>
      <x:c r="G76" t="str">
        <x:v>ATIVO</x:v>
      </x:c>
      <x:c r="H76" t="str">
        <x:v>RESP-005</x:v>
      </x:c>
      <x:c r="I76" t="str">
        <x:v>DOC-SIM-0001505</x:v>
      </x:c>
      <x:c r="J76" t="n">
        <x:v>61359</x:v>
      </x:c>
      <x:c r="K76" t="n">
        <x:v>27829.49</x:v>
      </x:c>
      <x:c r="L76" t="n">
        <x:v>33529.51</x:v>
      </x:c>
      <x:c r="M76" t="str">
        <x:v>SEM_LOCALIZACAO</x:v>
      </x:c>
      <x:c r="N76" t="str">
        <x:v>SIMULADO</x:v>
      </x:c>
    </x:row>
    <x:row r="77">
      <x:c r="A77" t="str">
        <x:v>DIRIGIDA_EXCECAO</x:v>
      </x:c>
      <x:c r="B77" t="str">
        <x:v>ATV-0001506</x:v>
      </x:c>
      <x:c r="C77" t="str">
        <x:v>Máquinas e equipamentos</x:v>
      </x:c>
      <x:c r="D77" t="str"/>
      <x:c r="E77" t="str">
        <x:v>2025-11-04</x:v>
      </x:c>
      <x:c r="F77" t="str">
        <x:v>2025-11-30</x:v>
      </x:c>
      <x:c r="G77" t="str">
        <x:v>ATIVO</x:v>
      </x:c>
      <x:c r="H77" t="str">
        <x:v>RESP-006</x:v>
      </x:c>
      <x:c r="I77" t="str">
        <x:v>DOC-SIM-0001506</x:v>
      </x:c>
      <x:c r="J77" t="n">
        <x:v>23260.15</x:v>
      </x:c>
      <x:c r="K77" t="n">
        <x:v>13362.21</x:v>
      </x:c>
      <x:c r="L77" t="n">
        <x:v>9897.94</x:v>
      </x:c>
      <x:c r="M77" t="str">
        <x:v>SEM_LOCALIZACAO</x:v>
      </x:c>
      <x:c r="N77" t="str">
        <x:v>SIMULADO</x:v>
      </x:c>
    </x:row>
    <x:row r="78">
      <x:c r="A78" t="str">
        <x:v>DIRIGIDA_EXCECAO</x:v>
      </x:c>
      <x:c r="B78" t="str">
        <x:v>ATV-0001507</x:v>
      </x:c>
      <x:c r="C78" t="str">
        <x:v>Instalações industriais</x:v>
      </x:c>
      <x:c r="D78" t="str"/>
      <x:c r="E78" t="str">
        <x:v>2024-08-06</x:v>
      </x:c>
      <x:c r="F78" t="str">
        <x:v>2024-11-08</x:v>
      </x:c>
      <x:c r="G78" t="str">
        <x:v>ATIVO</x:v>
      </x:c>
      <x:c r="H78" t="str">
        <x:v>RESP-007</x:v>
      </x:c>
      <x:c r="I78" t="str">
        <x:v>DOC-SIM-0001507</x:v>
      </x:c>
      <x:c r="J78" t="n">
        <x:v>38765.15</x:v>
      </x:c>
      <x:c r="K78" t="n">
        <x:v>23622.51</x:v>
      </x:c>
      <x:c r="L78" t="n">
        <x:v>15142.64</x:v>
      </x:c>
      <x:c r="M78" t="str">
        <x:v>SEM_LOCALIZACAO</x:v>
      </x:c>
      <x:c r="N78" t="str">
        <x:v>SIMULADO</x:v>
      </x:c>
    </x:row>
    <x:row r="79">
      <x:c r="A79" t="str">
        <x:v>DIRIGIDA_EXCECAO</x:v>
      </x:c>
      <x:c r="B79" t="str">
        <x:v>ATV-0001508</x:v>
      </x:c>
      <x:c r="C79" t="str">
        <x:v>Obras em andamento</x:v>
      </x:c>
      <x:c r="D79" t="str"/>
      <x:c r="E79" t="str">
        <x:v>2017-08-05</x:v>
      </x:c>
      <x:c r="F79" t="str">
        <x:v>2017-09-18</x:v>
      </x:c>
      <x:c r="G79" t="str">
        <x:v>ATIVO</x:v>
      </x:c>
      <x:c r="H79" t="str">
        <x:v>RESP-008</x:v>
      </x:c>
      <x:c r="I79" t="str">
        <x:v>DOC-SIM-0001508</x:v>
      </x:c>
      <x:c r="J79" t="n">
        <x:v>30576.65</x:v>
      </x:c>
      <x:c r="K79" t="n">
        <x:v>0</x:v>
      </x:c>
      <x:c r="L79" t="n">
        <x:v>30576.65</x:v>
      </x:c>
      <x:c r="M79" t="str">
        <x:v>SEM_LOCALIZACAO</x:v>
      </x:c>
      <x:c r="N79" t="str">
        <x:v>SIMULADO</x:v>
      </x:c>
    </x:row>
    <x:row r="80">
      <x:c r="A80" t="str">
        <x:v>DIRIGIDA_EXCECAO</x:v>
      </x:c>
      <x:c r="B80" t="str">
        <x:v>ATV-0001509</x:v>
      </x:c>
      <x:c r="C80" t="str">
        <x:v>Veículos e equipamentos móveis</x:v>
      </x:c>
      <x:c r="D80" t="str"/>
      <x:c r="E80" t="str">
        <x:v>2019-02-22</x:v>
      </x:c>
      <x:c r="F80" t="str">
        <x:v>2019-03-29</x:v>
      </x:c>
      <x:c r="G80" t="str">
        <x:v>ATIVO</x:v>
      </x:c>
      <x:c r="H80" t="str">
        <x:v>RESP-009</x:v>
      </x:c>
      <x:c r="I80" t="str">
        <x:v>DOC-SIM-0001509</x:v>
      </x:c>
      <x:c r="J80" t="n">
        <x:v>76154.52</x:v>
      </x:c>
      <x:c r="K80" t="n">
        <x:v>45934.47</x:v>
      </x:c>
      <x:c r="L80" t="n">
        <x:v>30220.05</x:v>
      </x:c>
      <x:c r="M80" t="str">
        <x:v>SEM_LOCALIZACAO</x:v>
      </x:c>
      <x:c r="N80" t="str">
        <x:v>SIMULADO</x:v>
      </x:c>
    </x:row>
    <x:row r="81">
      <x:c r="A81" t="str">
        <x:v>DIRIGIDA_EXCECAO</x:v>
      </x:c>
      <x:c r="B81" t="str">
        <x:v>ATV-0001510</x:v>
      </x:c>
      <x:c r="C81" t="str">
        <x:v>Edificações</x:v>
      </x:c>
      <x:c r="D81" t="str"/>
      <x:c r="E81" t="str">
        <x:v>2012-09-09</x:v>
      </x:c>
      <x:c r="F81" t="str">
        <x:v>2013-02-27</x:v>
      </x:c>
      <x:c r="G81" t="str">
        <x:v>ATIVO</x:v>
      </x:c>
      <x:c r="H81" t="str">
        <x:v>RESP-010</x:v>
      </x:c>
      <x:c r="I81" t="str">
        <x:v>DOC-SIM-0001510</x:v>
      </x:c>
      <x:c r="J81" t="n">
        <x:v>87307.2</x:v>
      </x:c>
      <x:c r="K81" t="n">
        <x:v>50929.2</x:v>
      </x:c>
      <x:c r="L81" t="n">
        <x:v>36378</x:v>
      </x:c>
      <x:c r="M81" t="str">
        <x:v>SEM_LOCALIZACAO</x:v>
      </x:c>
      <x:c r="N81" t="str">
        <x:v>SIMULADO</x:v>
      </x:c>
    </x:row>
    <x:row r="82">
      <x:c r="A82" t="str">
        <x:v>DIRIGIDA_EXCECAO</x:v>
      </x:c>
      <x:c r="B82" t="str">
        <x:v>ATV-0001511</x:v>
      </x:c>
      <x:c r="C82" t="str">
        <x:v>Infraestrutura de mina</x:v>
      </x:c>
      <x:c r="D82" t="str"/>
      <x:c r="E82" t="str">
        <x:v>2017-08-26</x:v>
      </x:c>
      <x:c r="F82" t="str">
        <x:v>2017-12-21</x:v>
      </x:c>
      <x:c r="G82" t="str">
        <x:v>ATIVO</x:v>
      </x:c>
      <x:c r="H82" t="str">
        <x:v>RESP-011</x:v>
      </x:c>
      <x:c r="I82" t="str">
        <x:v>DOC-SIM-0001511</x:v>
      </x:c>
      <x:c r="J82" t="n">
        <x:v>15118.02</x:v>
      </x:c>
      <x:c r="K82" t="n">
        <x:v>6624.75</x:v>
      </x:c>
      <x:c r="L82" t="n">
        <x:v>8493.27</x:v>
      </x:c>
      <x:c r="M82" t="str">
        <x:v>SEM_LOCALIZACAO</x:v>
      </x:c>
      <x:c r="N82" t="str">
        <x:v>SIMULADO</x:v>
      </x:c>
    </x:row>
    <x:row r="83">
      <x:c r="A83" t="str">
        <x:v>DIRIGIDA_EXCECAO</x:v>
      </x:c>
      <x:c r="B83" t="str">
        <x:v>ATV-0001512</x:v>
      </x:c>
      <x:c r="C83" t="str">
        <x:v>Direito de uso</x:v>
      </x:c>
      <x:c r="D83" t="str"/>
      <x:c r="E83" t="str">
        <x:v>2020-07-22</x:v>
      </x:c>
      <x:c r="F83" t="str">
        <x:v>2020-08-24</x:v>
      </x:c>
      <x:c r="G83" t="str">
        <x:v>ATIVO</x:v>
      </x:c>
      <x:c r="H83" t="str">
        <x:v>RESP-012</x:v>
      </x:c>
      <x:c r="I83" t="str">
        <x:v>DOC-SIM-0001512</x:v>
      </x:c>
      <x:c r="J83" t="n">
        <x:v>32512.4</x:v>
      </x:c>
      <x:c r="K83" t="n">
        <x:v>13499.3</x:v>
      </x:c>
      <x:c r="L83" t="n">
        <x:v>19013.1</x:v>
      </x:c>
      <x:c r="M83" t="str">
        <x:v>SEM_LOCALIZACAO</x:v>
      </x:c>
      <x:c r="N83" t="str">
        <x:v>SIMULADO</x:v>
      </x:c>
    </x:row>
    <x:row r="84">
      <x:c r="A84" t="str">
        <x:v>DIRIGIDA_EXCECAO</x:v>
      </x:c>
      <x:c r="B84" t="str">
        <x:v>ATV-0001513</x:v>
      </x:c>
      <x:c r="C84" t="str">
        <x:v>Máquinas e equipamentos</x:v>
      </x:c>
      <x:c r="D84" t="str"/>
      <x:c r="E84" t="str">
        <x:v>2019-11-12</x:v>
      </x:c>
      <x:c r="F84" t="str">
        <x:v>2020-03-28</x:v>
      </x:c>
      <x:c r="G84" t="str">
        <x:v>ATIVO</x:v>
      </x:c>
      <x:c r="H84" t="str">
        <x:v>RESP-013</x:v>
      </x:c>
      <x:c r="I84" t="str">
        <x:v>DOC-SIM-0001513</x:v>
      </x:c>
      <x:c r="J84" t="n">
        <x:v>50602.15</x:v>
      </x:c>
      <x:c r="K84" t="n">
        <x:v>11375.67</x:v>
      </x:c>
      <x:c r="L84" t="n">
        <x:v>39226.48</x:v>
      </x:c>
      <x:c r="M84" t="str">
        <x:v>SEM_LOCALIZACAO</x:v>
      </x:c>
      <x:c r="N84" t="str">
        <x:v>SIMULADO</x:v>
      </x:c>
    </x:row>
    <x:row r="85">
      <x:c r="A85" t="str">
        <x:v>DIRIGIDA_EXCECAO</x:v>
      </x:c>
      <x:c r="B85" t="str">
        <x:v>ATV-0001514</x:v>
      </x:c>
      <x:c r="C85" t="str">
        <x:v>Instalações industriais</x:v>
      </x:c>
      <x:c r="D85" t="str"/>
      <x:c r="E85" t="str">
        <x:v>2019-07-14</x:v>
      </x:c>
      <x:c r="F85" t="str">
        <x:v>2020-01-08</x:v>
      </x:c>
      <x:c r="G85" t="str">
        <x:v>ATIVO</x:v>
      </x:c>
      <x:c r="H85" t="str">
        <x:v>RESP-014</x:v>
      </x:c>
      <x:c r="I85" t="str">
        <x:v>DOC-SIM-0001514</x:v>
      </x:c>
      <x:c r="J85" t="n">
        <x:v>71874.99</x:v>
      </x:c>
      <x:c r="K85" t="n">
        <x:v>41159.18</x:v>
      </x:c>
      <x:c r="L85" t="n">
        <x:v>30715.81</x:v>
      </x:c>
      <x:c r="M85" t="str">
        <x:v>SEM_LOCALIZACAO</x:v>
      </x:c>
      <x:c r="N85" t="str">
        <x:v>SIMULADO</x:v>
      </x:c>
    </x:row>
    <x:row r="86">
      <x:c r="A86" t="str">
        <x:v>DIRIGIDA_EXCECAO</x:v>
      </x:c>
      <x:c r="B86" t="str">
        <x:v>ATV-0001515</x:v>
      </x:c>
      <x:c r="C86" t="str">
        <x:v>Obras em andamento</x:v>
      </x:c>
      <x:c r="D86" t="str"/>
      <x:c r="E86" t="str">
        <x:v>2014-02-14</x:v>
      </x:c>
      <x:c r="F86" t="str">
        <x:v>2014-08-13</x:v>
      </x:c>
      <x:c r="G86" t="str">
        <x:v>ATIVO</x:v>
      </x:c>
      <x:c r="H86" t="str">
        <x:v>RESP-015</x:v>
      </x:c>
      <x:c r="I86" t="str">
        <x:v>DOC-SIM-0001515</x:v>
      </x:c>
      <x:c r="J86" t="n">
        <x:v>21117.94</x:v>
      </x:c>
      <x:c r="K86" t="n">
        <x:v>0</x:v>
      </x:c>
      <x:c r="L86" t="n">
        <x:v>21117.94</x:v>
      </x:c>
      <x:c r="M86" t="str">
        <x:v>SEM_LOCALIZACAO</x:v>
      </x:c>
      <x:c r="N86" t="str">
        <x:v>SIMULADO</x:v>
      </x:c>
    </x:row>
    <x:row r="87">
      <x:c r="A87" t="str">
        <x:v>DIRIGIDA_EXCECAO</x:v>
      </x:c>
      <x:c r="B87" t="str">
        <x:v>ATV-0001516</x:v>
      </x:c>
      <x:c r="C87" t="str">
        <x:v>Veículos e equipamentos móveis</x:v>
      </x:c>
      <x:c r="D87" t="str"/>
      <x:c r="E87" t="str">
        <x:v>2023-02-16</x:v>
      </x:c>
      <x:c r="F87" t="str">
        <x:v>2023-03-26</x:v>
      </x:c>
      <x:c r="G87" t="str">
        <x:v>ATIVO</x:v>
      </x:c>
      <x:c r="H87" t="str">
        <x:v>RESP-016</x:v>
      </x:c>
      <x:c r="I87" t="str">
        <x:v>DOC-SIM-0001516</x:v>
      </x:c>
      <x:c r="J87" t="n">
        <x:v>19156.6</x:v>
      </x:c>
      <x:c r="K87" t="n">
        <x:v>11493.96</x:v>
      </x:c>
      <x:c r="L87" t="n">
        <x:v>7662.64</x:v>
      </x:c>
      <x:c r="M87" t="str">
        <x:v>SEM_LOCALIZACAO</x:v>
      </x:c>
      <x:c r="N87" t="str">
        <x:v>SIMULADO</x:v>
      </x:c>
    </x:row>
    <x:row r="88">
      <x:c r="A88" t="str">
        <x:v>DIRIGIDA_EXCECAO</x:v>
      </x:c>
      <x:c r="B88" t="str">
        <x:v>ATV-0001517</x:v>
      </x:c>
      <x:c r="C88" t="str">
        <x:v>Edificações</x:v>
      </x:c>
      <x:c r="D88" t="str"/>
      <x:c r="E88" t="str">
        <x:v>2014-08-03</x:v>
      </x:c>
      <x:c r="F88" t="str">
        <x:v>2014-08-24</x:v>
      </x:c>
      <x:c r="G88" t="str">
        <x:v>ATIVO</x:v>
      </x:c>
      <x:c r="H88" t="str">
        <x:v>RESP-017</x:v>
      </x:c>
      <x:c r="I88" t="str">
        <x:v>DOC-SIM-0001517</x:v>
      </x:c>
      <x:c r="J88" t="n">
        <x:v>31864.38</x:v>
      </x:c>
      <x:c r="K88" t="n">
        <x:v>3157.73</x:v>
      </x:c>
      <x:c r="L88" t="n">
        <x:v>28706.65</x:v>
      </x:c>
      <x:c r="M88" t="str">
        <x:v>SEM_LOCALIZACAO</x:v>
      </x:c>
      <x:c r="N88" t="str">
        <x:v>SIMULADO</x:v>
      </x:c>
    </x:row>
    <x:row r="89">
      <x:c r="A89" t="str">
        <x:v>DIRIGIDA_EXCECAO</x:v>
      </x:c>
      <x:c r="B89" t="str">
        <x:v>ATV-0001518</x:v>
      </x:c>
      <x:c r="C89" t="str">
        <x:v>Infraestrutura de mina</x:v>
      </x:c>
      <x:c r="D89" t="str"/>
      <x:c r="E89" t="str">
        <x:v>2019-04-04</x:v>
      </x:c>
      <x:c r="F89" t="str">
        <x:v>2019-06-14</x:v>
      </x:c>
      <x:c r="G89" t="str">
        <x:v>ATIVO</x:v>
      </x:c>
      <x:c r="H89" t="str">
        <x:v>RESP-018</x:v>
      </x:c>
      <x:c r="I89" t="str">
        <x:v>DOC-SIM-0001518</x:v>
      </x:c>
      <x:c r="J89" t="n">
        <x:v>2083.86</x:v>
      </x:c>
      <x:c r="K89" t="n">
        <x:v>1240.19</x:v>
      </x:c>
      <x:c r="L89" t="n">
        <x:v>843.67</x:v>
      </x:c>
      <x:c r="M89" t="str">
        <x:v>SEM_LOCALIZACAO</x:v>
      </x:c>
      <x:c r="N89" t="str">
        <x:v>SIMULADO</x:v>
      </x:c>
    </x:row>
    <x:row r="90">
      <x:c r="A90" t="str">
        <x:v>DIRIGIDA_EXCECAO</x:v>
      </x:c>
      <x:c r="B90" t="str">
        <x:v>ATV-0001519</x:v>
      </x:c>
      <x:c r="C90" t="str">
        <x:v>Direito de uso</x:v>
      </x:c>
      <x:c r="D90" t="str"/>
      <x:c r="E90" t="str">
        <x:v>2013-03-06</x:v>
      </x:c>
      <x:c r="F90" t="str">
        <x:v>2013-08-07</x:v>
      </x:c>
      <x:c r="G90" t="str">
        <x:v>ATIVO</x:v>
      </x:c>
      <x:c r="H90" t="str">
        <x:v>RESP-019</x:v>
      </x:c>
      <x:c r="I90" t="str">
        <x:v>DOC-SIM-0001519</x:v>
      </x:c>
      <x:c r="J90" t="n">
        <x:v>65143.27</x:v>
      </x:c>
      <x:c r="K90" t="n">
        <x:v>39893.94</x:v>
      </x:c>
      <x:c r="L90" t="n">
        <x:v>25249.33</x:v>
      </x:c>
      <x:c r="M90" t="str">
        <x:v>SEM_LOCALIZACAO</x:v>
      </x:c>
      <x:c r="N90" t="str">
        <x:v>SIMULADO</x:v>
      </x:c>
    </x:row>
    <x:row r="91">
      <x:c r="A91" t="str">
        <x:v>DIRIGIDA_EXCECAO</x:v>
      </x:c>
      <x:c r="B91" t="str">
        <x:v>ATV-0001520</x:v>
      </x:c>
      <x:c r="C91" t="str">
        <x:v>Máquinas e equipamentos</x:v>
      </x:c>
      <x:c r="D91" t="str"/>
      <x:c r="E91" t="str">
        <x:v>2024-05-30</x:v>
      </x:c>
      <x:c r="F91" t="str">
        <x:v>2024-10-03</x:v>
      </x:c>
      <x:c r="G91" t="str">
        <x:v>ATIVO</x:v>
      </x:c>
      <x:c r="H91" t="str">
        <x:v>RESP-020</x:v>
      </x:c>
      <x:c r="I91" t="str">
        <x:v>DOC-SIM-0001520</x:v>
      </x:c>
      <x:c r="J91" t="n">
        <x:v>1422.83</x:v>
      </x:c>
      <x:c r="K91" t="n">
        <x:v>844.44</x:v>
      </x:c>
      <x:c r="L91" t="n">
        <x:v>578.39</x:v>
      </x:c>
      <x:c r="M91" t="str">
        <x:v>SEM_LOCALIZACAO</x:v>
      </x:c>
      <x:c r="N91" t="str">
        <x:v>SIMULADO</x:v>
      </x:c>
    </x:row>
    <x:row r="92">
      <x:c r="A92" t="str">
        <x:v>DIRIGIDA_EXCECAO</x:v>
      </x:c>
      <x:c r="B92" t="str">
        <x:v>ATV-0001521</x:v>
      </x:c>
      <x:c r="C92" t="str">
        <x:v>Instalações industriais</x:v>
      </x:c>
      <x:c r="D92" t="str"/>
      <x:c r="E92" t="str">
        <x:v>2021-08-16</x:v>
      </x:c>
      <x:c r="F92" t="str">
        <x:v>2021-09-28</x:v>
      </x:c>
      <x:c r="G92" t="str">
        <x:v>ATIVO</x:v>
      </x:c>
      <x:c r="H92" t="str">
        <x:v>RESP-021</x:v>
      </x:c>
      <x:c r="I92" t="str">
        <x:v>DOC-SIM-0001521</x:v>
      </x:c>
      <x:c r="J92" t="n">
        <x:v>18702.49</x:v>
      </x:c>
      <x:c r="K92" t="n">
        <x:v>9443.83</x:v>
      </x:c>
      <x:c r="L92" t="n">
        <x:v>9258.66</x:v>
      </x:c>
      <x:c r="M92" t="str">
        <x:v>SEM_LOCALIZACAO</x:v>
      </x:c>
      <x:c r="N92" t="str">
        <x:v>SIMULADO</x:v>
      </x:c>
    </x:row>
    <x:row r="93">
      <x:c r="A93" t="str">
        <x:v>DIRIGIDA_EXCECAO</x:v>
      </x:c>
      <x:c r="B93" t="str">
        <x:v>ATV-0001522</x:v>
      </x:c>
      <x:c r="C93" t="str">
        <x:v>Obras em andamento</x:v>
      </x:c>
      <x:c r="D93" t="str"/>
      <x:c r="E93" t="str">
        <x:v>2019-11-12</x:v>
      </x:c>
      <x:c r="F93" t="str">
        <x:v>2020-04-20</x:v>
      </x:c>
      <x:c r="G93" t="str">
        <x:v>ATIVO</x:v>
      </x:c>
      <x:c r="H93" t="str">
        <x:v>RESP-022</x:v>
      </x:c>
      <x:c r="I93" t="str">
        <x:v>DOC-SIM-0001522</x:v>
      </x:c>
      <x:c r="J93" t="n">
        <x:v>37230.37</x:v>
      </x:c>
      <x:c r="K93" t="n">
        <x:v>0</x:v>
      </x:c>
      <x:c r="L93" t="n">
        <x:v>37230.37</x:v>
      </x:c>
      <x:c r="M93" t="str">
        <x:v>SEM_LOCALIZACAO</x:v>
      </x:c>
      <x:c r="N93" t="str">
        <x:v>SIMULADO</x:v>
      </x:c>
    </x:row>
    <x:row r="94">
      <x:c r="A94" t="str">
        <x:v>DIRIGIDA_EXCECAO</x:v>
      </x:c>
      <x:c r="B94" t="str">
        <x:v>ATV-0001523</x:v>
      </x:c>
      <x:c r="C94" t="str">
        <x:v>Veículos e equipamentos móveis</x:v>
      </x:c>
      <x:c r="D94" t="str"/>
      <x:c r="E94" t="str">
        <x:v>2015-05-26</x:v>
      </x:c>
      <x:c r="F94" t="str">
        <x:v>2015-11-06</x:v>
      </x:c>
      <x:c r="G94" t="str">
        <x:v>ATIVO</x:v>
      </x:c>
      <x:c r="H94" t="str">
        <x:v>RESP-023</x:v>
      </x:c>
      <x:c r="I94" t="str">
        <x:v>DOC-SIM-0001523</x:v>
      </x:c>
      <x:c r="J94" t="n">
        <x:v>36700.19</x:v>
      </x:c>
      <x:c r="K94" t="n">
        <x:v>21344.46</x:v>
      </x:c>
      <x:c r="L94" t="n">
        <x:v>15355.73</x:v>
      </x:c>
      <x:c r="M94" t="str">
        <x:v>SEM_LOCALIZACAO</x:v>
      </x:c>
      <x:c r="N94" t="str">
        <x:v>SIMULADO</x:v>
      </x:c>
    </x:row>
    <x:row r="95">
      <x:c r="A95" t="str">
        <x:v>DIRIGIDA_EXCECAO</x:v>
      </x:c>
      <x:c r="B95" t="str">
        <x:v>ATV-0001524</x:v>
      </x:c>
      <x:c r="C95" t="str">
        <x:v>Edificações</x:v>
      </x:c>
      <x:c r="D95" t="str"/>
      <x:c r="E95" t="str">
        <x:v>2014-03-19</x:v>
      </x:c>
      <x:c r="F95" t="str">
        <x:v>2014-08-04</x:v>
      </x:c>
      <x:c r="G95" t="str">
        <x:v>ATIVO</x:v>
      </x:c>
      <x:c r="H95" t="str">
        <x:v>RESP-024</x:v>
      </x:c>
      <x:c r="I95" t="str">
        <x:v>DOC-SIM-0001524</x:v>
      </x:c>
      <x:c r="J95" t="n">
        <x:v>31629.93</x:v>
      </x:c>
      <x:c r="K95" t="n">
        <x:v>10820.76</x:v>
      </x:c>
      <x:c r="L95" t="n">
        <x:v>20809.17</x:v>
      </x:c>
      <x:c r="M95" t="str">
        <x:v>SEM_LOCALIZACAO</x:v>
      </x:c>
      <x:c r="N95" t="str">
        <x:v>SIMULADO</x:v>
      </x:c>
    </x:row>
    <x:row r="96">
      <x:c r="A96" t="str">
        <x:v>DIRIGIDA_EXCECAO</x:v>
      </x:c>
      <x:c r="B96" t="str">
        <x:v>ATV-0001525</x:v>
      </x:c>
      <x:c r="C96" t="str">
        <x:v>Infraestrutura de mina</x:v>
      </x:c>
      <x:c r="D96" t="str"/>
      <x:c r="E96" t="str">
        <x:v>2020-03-17</x:v>
      </x:c>
      <x:c r="F96" t="str">
        <x:v>2020-08-27</x:v>
      </x:c>
      <x:c r="G96" t="str">
        <x:v>ATIVO</x:v>
      </x:c>
      <x:c r="H96" t="str">
        <x:v>RESP-025</x:v>
      </x:c>
      <x:c r="I96" t="str">
        <x:v>DOC-SIM-0001525</x:v>
      </x:c>
      <x:c r="J96" t="n">
        <x:v>7024.79</x:v>
      </x:c>
      <x:c r="K96" t="n">
        <x:v>2715.1</x:v>
      </x:c>
      <x:c r="L96" t="n">
        <x:v>4309.69</x:v>
      </x:c>
      <x:c r="M96" t="str">
        <x:v>SEM_LOCALIZACAO</x:v>
      </x:c>
      <x:c r="N96" t="str">
        <x:v>SIMULADO</x:v>
      </x:c>
    </x:row>
    <x:row r="97">
      <x:c r="A97" t="str">
        <x:v>DIRIGIDA_EXCECAO</x:v>
      </x:c>
      <x:c r="B97" t="str">
        <x:v>ATV-0001526</x:v>
      </x:c>
      <x:c r="C97" t="str">
        <x:v>Direito de uso</x:v>
      </x:c>
      <x:c r="D97" t="str"/>
      <x:c r="E97" t="str">
        <x:v>2023-01-05</x:v>
      </x:c>
      <x:c r="F97" t="str">
        <x:v>2023-02-15</x:v>
      </x:c>
      <x:c r="G97" t="str">
        <x:v>ATIVO</x:v>
      </x:c>
      <x:c r="H97" t="str">
        <x:v>RESP-026</x:v>
      </x:c>
      <x:c r="I97" t="str">
        <x:v>DOC-SIM-0001526</x:v>
      </x:c>
      <x:c r="J97" t="n">
        <x:v>47524.06</x:v>
      </x:c>
      <x:c r="K97" t="n">
        <x:v>17821.52</x:v>
      </x:c>
      <x:c r="L97" t="n">
        <x:v>29702.54</x:v>
      </x:c>
      <x:c r="M97" t="str">
        <x:v>SEM_LOCALIZACAO</x:v>
      </x:c>
      <x:c r="N97" t="str">
        <x:v>SIMULADO</x:v>
      </x:c>
    </x:row>
    <x:row r="98">
      <x:c r="A98" t="str">
        <x:v>DIRIGIDA_EXCECAO</x:v>
      </x:c>
      <x:c r="B98" t="str">
        <x:v>ATV-0001527</x:v>
      </x:c>
      <x:c r="C98" t="str">
        <x:v>Máquinas e equipamentos</x:v>
      </x:c>
      <x:c r="D98" t="str"/>
      <x:c r="E98" t="str">
        <x:v>2025-10-28</x:v>
      </x:c>
      <x:c r="F98" t="str">
        <x:v>2026-03-24</x:v>
      </x:c>
      <x:c r="G98" t="str">
        <x:v>ATIVO</x:v>
      </x:c>
      <x:c r="H98" t="str">
        <x:v>RESP-027</x:v>
      </x:c>
      <x:c r="I98" t="str">
        <x:v>DOC-SIM-0001527</x:v>
      </x:c>
      <x:c r="J98" t="n">
        <x:v>42981.43</x:v>
      </x:c>
      <x:c r="K98" t="n">
        <x:v>13939.92</x:v>
      </x:c>
      <x:c r="L98" t="n">
        <x:v>29041.51</x:v>
      </x:c>
      <x:c r="M98" t="str">
        <x:v>SEM_LOCALIZACAO</x:v>
      </x:c>
      <x:c r="N98" t="str">
        <x:v>SIMULADO</x:v>
      </x:c>
    </x:row>
    <x:row r="99">
      <x:c r="A99" t="str">
        <x:v>DIRIGIDA_EXCECAO</x:v>
      </x:c>
      <x:c r="B99" t="str">
        <x:v>ATV-0001528</x:v>
      </x:c>
      <x:c r="C99" t="str">
        <x:v>Instalações industriais</x:v>
      </x:c>
      <x:c r="D99" t="str"/>
      <x:c r="E99" t="str">
        <x:v>2017-12-11</x:v>
      </x:c>
      <x:c r="F99" t="str">
        <x:v>2018-02-11</x:v>
      </x:c>
      <x:c r="G99" t="str">
        <x:v>ATIVO</x:v>
      </x:c>
      <x:c r="H99" t="str">
        <x:v>RESP-028</x:v>
      </x:c>
      <x:c r="I99" t="str">
        <x:v>DOC-SIM-0001528</x:v>
      </x:c>
      <x:c r="J99" t="n">
        <x:v>8601.98</x:v>
      </x:c>
      <x:c r="K99" t="n">
        <x:v>1121.99</x:v>
      </x:c>
      <x:c r="L99" t="n">
        <x:v>7479.99</x:v>
      </x:c>
      <x:c r="M99" t="str">
        <x:v>SEM_LOCALIZACAO</x:v>
      </x:c>
      <x:c r="N99" t="str">
        <x:v>SIMULADO</x:v>
      </x:c>
    </x:row>
    <x:row r="100">
      <x:c r="A100" t="str">
        <x:v>DIRIGIDA_EXCECAO</x:v>
      </x:c>
      <x:c r="B100" t="str">
        <x:v>ATV-0001529</x:v>
      </x:c>
      <x:c r="C100" t="str">
        <x:v>Obras em andamento</x:v>
      </x:c>
      <x:c r="D100" t="str"/>
      <x:c r="E100" t="str">
        <x:v>2016-03-16</x:v>
      </x:c>
      <x:c r="F100" t="str">
        <x:v>2016-08-09</x:v>
      </x:c>
      <x:c r="G100" t="str">
        <x:v>ATIVO</x:v>
      </x:c>
      <x:c r="H100" t="str">
        <x:v>RESP-029</x:v>
      </x:c>
      <x:c r="I100" t="str">
        <x:v>DOC-SIM-0001529</x:v>
      </x:c>
      <x:c r="J100" t="n">
        <x:v>22609.59</x:v>
      </x:c>
      <x:c r="K100" t="n">
        <x:v>0</x:v>
      </x:c>
      <x:c r="L100" t="n">
        <x:v>22609.59</x:v>
      </x:c>
      <x:c r="M100" t="str">
        <x:v>SEM_LOCALIZACAO</x:v>
      </x:c>
      <x:c r="N100" t="str">
        <x:v>SIMULADO</x:v>
      </x:c>
    </x:row>
    <x:row r="101">
      <x:c r="A101" t="str">
        <x:v>DIRIGIDA_EXCECAO</x:v>
      </x:c>
      <x:c r="B101" t="str">
        <x:v>ATV-0001530</x:v>
      </x:c>
      <x:c r="C101" t="str">
        <x:v>Veículos e equipamentos móveis</x:v>
      </x:c>
      <x:c r="D101" t="str"/>
      <x:c r="E101" t="str">
        <x:v>2018-09-28</x:v>
      </x:c>
      <x:c r="F101" t="str">
        <x:v>2019-02-10</x:v>
      </x:c>
      <x:c r="G101" t="str">
        <x:v>ATIVO</x:v>
      </x:c>
      <x:c r="H101" t="str">
        <x:v>RESP-030</x:v>
      </x:c>
      <x:c r="I101" t="str">
        <x:v>DOC-SIM-0001530</x:v>
      </x:c>
      <x:c r="J101" t="n">
        <x:v>66563.5</x:v>
      </x:c>
      <x:c r="K101" t="n">
        <x:v>37748.13</x:v>
      </x:c>
      <x:c r="L101" t="n">
        <x:v>28815.37</x:v>
      </x:c>
      <x:c r="M101" t="str">
        <x:v>SEM_LOCALIZACAO</x:v>
      </x:c>
      <x:c r="N101" t="str">
        <x:v>SIMULADO</x:v>
      </x:c>
    </x:row>
    <x:row r="102">
      <x:c r="A102" t="str">
        <x:v>DIRIGIDA_EXCECAO</x:v>
      </x:c>
      <x:c r="B102" t="str">
        <x:v>ATV-0001531</x:v>
      </x:c>
      <x:c r="C102" t="str">
        <x:v>Edificações</x:v>
      </x:c>
      <x:c r="D102" t="str"/>
      <x:c r="E102" t="str">
        <x:v>2025-09-13</x:v>
      </x:c>
      <x:c r="F102" t="str">
        <x:v>2025-11-19</x:v>
      </x:c>
      <x:c r="G102" t="str">
        <x:v>ATIVO</x:v>
      </x:c>
      <x:c r="H102" t="str">
        <x:v>RESP-031</x:v>
      </x:c>
      <x:c r="I102" t="str">
        <x:v>DOC-SIM-0001531</x:v>
      </x:c>
      <x:c r="J102" t="n">
        <x:v>19659.59</x:v>
      </x:c>
      <x:c r="K102" t="n">
        <x:v>6465.23</x:v>
      </x:c>
      <x:c r="L102" t="n">
        <x:v>13194.36</x:v>
      </x:c>
      <x:c r="M102" t="str">
        <x:v>SEM_LOCALIZACAO</x:v>
      </x:c>
      <x:c r="N102" t="str">
        <x:v>SIMULADO</x:v>
      </x:c>
    </x:row>
    <x:row r="103">
      <x:c r="A103" t="str">
        <x:v>DIRIGIDA_EXCECAO</x:v>
      </x:c>
      <x:c r="B103" t="str">
        <x:v>ATV-0001532</x:v>
      </x:c>
      <x:c r="C103" t="str">
        <x:v>Infraestrutura de mina</x:v>
      </x:c>
      <x:c r="D103" t="str"/>
      <x:c r="E103" t="str">
        <x:v>2014-10-11</x:v>
      </x:c>
      <x:c r="F103" t="str">
        <x:v>2015-04-09</x:v>
      </x:c>
      <x:c r="G103" t="str">
        <x:v>ATIVO</x:v>
      </x:c>
      <x:c r="H103" t="str">
        <x:v>RESP-032</x:v>
      </x:c>
      <x:c r="I103" t="str">
        <x:v>DOC-SIM-0001532</x:v>
      </x:c>
      <x:c r="J103" t="n">
        <x:v>31588.32</x:v>
      </x:c>
      <x:c r="K103" t="n">
        <x:v>16328.26</x:v>
      </x:c>
      <x:c r="L103" t="n">
        <x:v>15260.06</x:v>
      </x:c>
      <x:c r="M103" t="str">
        <x:v>SEM_LOCALIZACAO</x:v>
      </x:c>
      <x:c r="N103" t="str">
        <x:v>SIMULADO</x:v>
      </x:c>
    </x:row>
    <x:row r="104">
      <x:c r="A104" t="str">
        <x:v>DIRIGIDA_EXCECAO</x:v>
      </x:c>
      <x:c r="B104" t="str">
        <x:v>ATV-0001533</x:v>
      </x:c>
      <x:c r="C104" t="str">
        <x:v>Direito de uso</x:v>
      </x:c>
      <x:c r="D104" t="str"/>
      <x:c r="E104" t="str">
        <x:v>2023-04-28</x:v>
      </x:c>
      <x:c r="F104" t="str">
        <x:v>2023-09-25</x:v>
      </x:c>
      <x:c r="G104" t="str">
        <x:v>ATIVO</x:v>
      </x:c>
      <x:c r="H104" t="str">
        <x:v>RESP-033</x:v>
      </x:c>
      <x:c r="I104" t="str">
        <x:v>DOC-SIM-0001533</x:v>
      </x:c>
      <x:c r="J104" t="n">
        <x:v>18651.05</x:v>
      </x:c>
      <x:c r="K104" t="n">
        <x:v>10714.43</x:v>
      </x:c>
      <x:c r="L104" t="n">
        <x:v>7936.62</x:v>
      </x:c>
      <x:c r="M104" t="str">
        <x:v>SEM_LOCALIZACAO</x:v>
      </x:c>
      <x:c r="N104" t="str">
        <x:v>SIMULADO</x:v>
      </x:c>
    </x:row>
    <x:row r="105">
      <x:c r="A105" t="str">
        <x:v>DIRIGIDA_EXCECAO</x:v>
      </x:c>
      <x:c r="B105" t="str">
        <x:v>ATV-0001534</x:v>
      </x:c>
      <x:c r="C105" t="str">
        <x:v>Máquinas e equipamentos</x:v>
      </x:c>
      <x:c r="D105" t="str"/>
      <x:c r="E105" t="str">
        <x:v>2019-08-30</x:v>
      </x:c>
      <x:c r="F105" t="str">
        <x:v>2019-10-15</x:v>
      </x:c>
      <x:c r="G105" t="str">
        <x:v>ATIVO</x:v>
      </x:c>
      <x:c r="H105" t="str">
        <x:v>RESP-034</x:v>
      </x:c>
      <x:c r="I105" t="str">
        <x:v>DOC-SIM-0001534</x:v>
      </x:c>
      <x:c r="J105" t="n">
        <x:v>46558.58</x:v>
      </x:c>
      <x:c r="K105" t="n">
        <x:v>20548.2</x:v>
      </x:c>
      <x:c r="L105" t="n">
        <x:v>26010.38</x:v>
      </x:c>
      <x:c r="M105" t="str">
        <x:v>SEM_LOCALIZACAO</x:v>
      </x:c>
      <x:c r="N105" t="str">
        <x:v>SIMULADO</x:v>
      </x:c>
    </x:row>
    <x:row r="106">
      <x:c r="A106" t="str">
        <x:v>DIRIGIDA_EXCECAO</x:v>
      </x:c>
      <x:c r="B106" t="str">
        <x:v>ATV-0001535</x:v>
      </x:c>
      <x:c r="C106" t="str">
        <x:v>Instalações industriais</x:v>
      </x:c>
      <x:c r="D106" t="str"/>
      <x:c r="E106" t="str">
        <x:v>2018-12-04</x:v>
      </x:c>
      <x:c r="F106" t="str">
        <x:v>2018-12-17</x:v>
      </x:c>
      <x:c r="G106" t="str">
        <x:v>ATIVO</x:v>
      </x:c>
      <x:c r="H106" t="str">
        <x:v>RESP-035</x:v>
      </x:c>
      <x:c r="I106" t="str">
        <x:v>DOC-SIM-0001535</x:v>
      </x:c>
      <x:c r="J106" t="n">
        <x:v>2949.8</x:v>
      </x:c>
      <x:c r="K106" t="n">
        <x:v>1397.27</x:v>
      </x:c>
      <x:c r="L106" t="n">
        <x:v>1552.53</x:v>
      </x:c>
      <x:c r="M106" t="str">
        <x:v>SEM_LOCALIZACAO</x:v>
      </x:c>
      <x:c r="N106" t="str">
        <x:v>SIMULADO</x:v>
      </x:c>
    </x:row>
    <x:row r="107">
      <x:c r="A107" t="str">
        <x:v>DIRIGIDA_EXCECAO</x:v>
      </x:c>
      <x:c r="B107" t="str">
        <x:v>ATV-0001536</x:v>
      </x:c>
      <x:c r="C107" t="str">
        <x:v>Obras em andamento</x:v>
      </x:c>
      <x:c r="D107" t="str"/>
      <x:c r="E107" t="str">
        <x:v>2022-12-26</x:v>
      </x:c>
      <x:c r="F107" t="str">
        <x:v>2023-03-11</x:v>
      </x:c>
      <x:c r="G107" t="str">
        <x:v>ATIVO</x:v>
      </x:c>
      <x:c r="H107" t="str">
        <x:v>RESP-036</x:v>
      </x:c>
      <x:c r="I107" t="str">
        <x:v>DOC-SIM-0001536</x:v>
      </x:c>
      <x:c r="J107" t="n">
        <x:v>36095.32</x:v>
      </x:c>
      <x:c r="K107" t="n">
        <x:v>0</x:v>
      </x:c>
      <x:c r="L107" t="n">
        <x:v>36095.32</x:v>
      </x:c>
      <x:c r="M107" t="str">
        <x:v>SEM_LOCALIZACAO</x:v>
      </x:c>
      <x:c r="N107" t="str">
        <x:v>SIMULADO</x:v>
      </x:c>
    </x:row>
    <x:row r="108">
      <x:c r="A108" t="str">
        <x:v>DIRIGIDA_EXCECAO</x:v>
      </x:c>
      <x:c r="B108" t="str">
        <x:v>ATV-0001537</x:v>
      </x:c>
      <x:c r="C108" t="str">
        <x:v>Veículos e equipamentos móveis</x:v>
      </x:c>
      <x:c r="D108" t="str"/>
      <x:c r="E108" t="str">
        <x:v>2024-11-24</x:v>
      </x:c>
      <x:c r="F108" t="str">
        <x:v>2025-01-07</x:v>
      </x:c>
      <x:c r="G108" t="str">
        <x:v>ATIVO</x:v>
      </x:c>
      <x:c r="H108" t="str">
        <x:v>RESP-037</x:v>
      </x:c>
      <x:c r="I108" t="str">
        <x:v>DOC-SIM-0001537</x:v>
      </x:c>
      <x:c r="J108" t="n">
        <x:v>56396.55</x:v>
      </x:c>
      <x:c r="K108" t="n">
        <x:v>16113.3</x:v>
      </x:c>
      <x:c r="L108" t="n">
        <x:v>40283.25</x:v>
      </x:c>
      <x:c r="M108" t="str">
        <x:v>SEM_LOCALIZACAO</x:v>
      </x:c>
      <x:c r="N108" t="str">
        <x:v>SIMULADO</x:v>
      </x:c>
    </x:row>
    <x:row r="109">
      <x:c r="A109" t="str">
        <x:v>DIRIGIDA_EXCECAO</x:v>
      </x:c>
      <x:c r="B109" t="str">
        <x:v>ATV-0001538</x:v>
      </x:c>
      <x:c r="C109" t="str">
        <x:v>Edificações</x:v>
      </x:c>
      <x:c r="D109" t="str"/>
      <x:c r="E109" t="str">
        <x:v>2024-09-27</x:v>
      </x:c>
      <x:c r="F109" t="str">
        <x:v>2024-10-08</x:v>
      </x:c>
      <x:c r="G109" t="str">
        <x:v>ATIVO</x:v>
      </x:c>
      <x:c r="H109" t="str">
        <x:v>RESP-038</x:v>
      </x:c>
      <x:c r="I109" t="str">
        <x:v>DOC-SIM-0001538</x:v>
      </x:c>
      <x:c r="J109" t="n">
        <x:v>6115.15</x:v>
      </x:c>
      <x:c r="K109" t="n">
        <x:v>3284.06</x:v>
      </x:c>
      <x:c r="L109" t="n">
        <x:v>2831.09</x:v>
      </x:c>
      <x:c r="M109" t="str">
        <x:v>SEM_LOCALIZACAO</x:v>
      </x:c>
      <x:c r="N109" t="str">
        <x:v>SIMULADO</x:v>
      </x:c>
    </x:row>
    <x:row r="110">
      <x:c r="A110" t="str">
        <x:v>DIRIGIDA_EXCECAO</x:v>
      </x:c>
      <x:c r="B110" t="str">
        <x:v>ATV-0001539</x:v>
      </x:c>
      <x:c r="C110" t="str">
        <x:v>Infraestrutura de mina</x:v>
      </x:c>
      <x:c r="D110" t="str"/>
      <x:c r="E110" t="str">
        <x:v>2017-03-13</x:v>
      </x:c>
      <x:c r="F110" t="str">
        <x:v>2017-07-23</x:v>
      </x:c>
      <x:c r="G110" t="str">
        <x:v>ATIVO</x:v>
      </x:c>
      <x:c r="H110" t="str">
        <x:v>RESP-039</x:v>
      </x:c>
      <x:c r="I110" t="str">
        <x:v>DOC-SIM-0001539</x:v>
      </x:c>
      <x:c r="J110" t="n">
        <x:v>37365</x:v>
      </x:c>
      <x:c r="K110" t="n">
        <x:v>15255.53</x:v>
      </x:c>
      <x:c r="L110" t="n">
        <x:v>22109.47</x:v>
      </x:c>
      <x:c r="M110" t="str">
        <x:v>SEM_LOCALIZACAO</x:v>
      </x:c>
      <x:c r="N110" t="str">
        <x:v>SIMULADO</x:v>
      </x:c>
    </x:row>
    <x:row r="111">
      <x:c r="A111" t="str">
        <x:v>DIRIGIDA_EXCECAO</x:v>
      </x:c>
      <x:c r="B111" t="str">
        <x:v>ATV-0001540</x:v>
      </x:c>
      <x:c r="C111" t="str">
        <x:v>Direito de uso</x:v>
      </x:c>
      <x:c r="D111" t="str"/>
      <x:c r="E111" t="str">
        <x:v>2021-05-10</x:v>
      </x:c>
      <x:c r="F111" t="str">
        <x:v>2021-09-11</x:v>
      </x:c>
      <x:c r="G111" t="str">
        <x:v>ATIVO</x:v>
      </x:c>
      <x:c r="H111" t="str">
        <x:v>RESP-040</x:v>
      </x:c>
      <x:c r="I111" t="str">
        <x:v>DOC-SIM-0001540</x:v>
      </x:c>
      <x:c r="J111" t="n">
        <x:v>6444.97</x:v>
      </x:c>
      <x:c r="K111" t="n">
        <x:v>3835.67</x:v>
      </x:c>
      <x:c r="L111" t="n">
        <x:v>2609.3</x:v>
      </x:c>
      <x:c r="M111" t="str">
        <x:v>SEM_LOCALIZACAO</x:v>
      </x:c>
      <x:c r="N111" t="str">
        <x:v>SIMULADO</x:v>
      </x:c>
    </x:row>
    <x:row r="112">
      <x:c r="A112" t="str">
        <x:v>DIRIGIDA_EXCECAO</x:v>
      </x:c>
      <x:c r="B112" t="str">
        <x:v>ATV-0001541</x:v>
      </x:c>
      <x:c r="C112" t="str">
        <x:v>Máquinas e equipamentos</x:v>
      </x:c>
      <x:c r="D112" t="str"/>
      <x:c r="E112" t="str">
        <x:v>2014-09-01</x:v>
      </x:c>
      <x:c r="F112" t="str">
        <x:v>2014-11-04</x:v>
      </x:c>
      <x:c r="G112" t="str">
        <x:v>ATIVO</x:v>
      </x:c>
      <x:c r="H112" t="str">
        <x:v>RESP-041</x:v>
      </x:c>
      <x:c r="I112" t="str">
        <x:v>DOC-SIM-0001541</x:v>
      </x:c>
      <x:c r="J112" t="n">
        <x:v>42597.82</x:v>
      </x:c>
      <x:c r="K112" t="n">
        <x:v>15465.45</x:v>
      </x:c>
      <x:c r="L112" t="n">
        <x:v>27132.37</x:v>
      </x:c>
      <x:c r="M112" t="str">
        <x:v>SEM_LOCALIZACAO</x:v>
      </x:c>
      <x:c r="N112" t="str">
        <x:v>SIMULADO</x:v>
      </x:c>
    </x:row>
    <x:row r="113">
      <x:c r="A113" t="str">
        <x:v>DIRIGIDA_EXCECAO</x:v>
      </x:c>
      <x:c r="B113" t="str">
        <x:v>ATV-0001542</x:v>
      </x:c>
      <x:c r="C113" t="str">
        <x:v>Instalações industriais</x:v>
      </x:c>
      <x:c r="D113" t="str"/>
      <x:c r="E113" t="str">
        <x:v>2023-07-22</x:v>
      </x:c>
      <x:c r="F113" t="str">
        <x:v>2023-12-29</x:v>
      </x:c>
      <x:c r="G113" t="str">
        <x:v>ATIVO</x:v>
      </x:c>
      <x:c r="H113" t="str">
        <x:v>RESP-042</x:v>
      </x:c>
      <x:c r="I113" t="str">
        <x:v>DOC-SIM-0001542</x:v>
      </x:c>
      <x:c r="J113" t="n">
        <x:v>50279.65</x:v>
      </x:c>
      <x:c r="K113" t="n">
        <x:v>26674.18</x:v>
      </x:c>
      <x:c r="L113" t="n">
        <x:v>23605.47</x:v>
      </x:c>
      <x:c r="M113" t="str">
        <x:v>SEM_LOCALIZACAO</x:v>
      </x:c>
      <x:c r="N113" t="str">
        <x:v>SIMULADO</x:v>
      </x:c>
    </x:row>
    <x:row r="114">
      <x:c r="A114" t="str">
        <x:v>DIRIGIDA_EXCECAO</x:v>
      </x:c>
      <x:c r="B114" t="str">
        <x:v>ATV-0001543</x:v>
      </x:c>
      <x:c r="C114" t="str">
        <x:v>Obras em andamento</x:v>
      </x:c>
      <x:c r="D114" t="str"/>
      <x:c r="E114" t="str">
        <x:v>2015-06-06</x:v>
      </x:c>
      <x:c r="F114" t="str">
        <x:v>2015-08-23</x:v>
      </x:c>
      <x:c r="G114" t="str">
        <x:v>ATIVO</x:v>
      </x:c>
      <x:c r="H114" t="str">
        <x:v>RESP-043</x:v>
      </x:c>
      <x:c r="I114" t="str">
        <x:v>DOC-SIM-0001543</x:v>
      </x:c>
      <x:c r="J114" t="n">
        <x:v>6879.85</x:v>
      </x:c>
      <x:c r="K114" t="n">
        <x:v>0</x:v>
      </x:c>
      <x:c r="L114" t="n">
        <x:v>6879.85</x:v>
      </x:c>
      <x:c r="M114" t="str">
        <x:v>SEM_LOCALIZACAO</x:v>
      </x:c>
      <x:c r="N114" t="str">
        <x:v>SIMULADO</x:v>
      </x:c>
    </x:row>
    <x:row r="115">
      <x:c r="A115" t="str">
        <x:v>DIRIGIDA_EXCECAO</x:v>
      </x:c>
      <x:c r="B115" t="str">
        <x:v>ATV-0001544</x:v>
      </x:c>
      <x:c r="C115" t="str">
        <x:v>Veículos e equipamentos móveis</x:v>
      </x:c>
      <x:c r="D115" t="str"/>
      <x:c r="E115" t="str">
        <x:v>2012-11-21</x:v>
      </x:c>
      <x:c r="F115" t="str">
        <x:v>2013-01-27</x:v>
      </x:c>
      <x:c r="G115" t="str">
        <x:v>ATIVO</x:v>
      </x:c>
      <x:c r="H115" t="str">
        <x:v>RESP-044</x:v>
      </x:c>
      <x:c r="I115" t="str">
        <x:v>DOC-SIM-0001544</x:v>
      </x:c>
      <x:c r="J115" t="n">
        <x:v>30156.98</x:v>
      </x:c>
      <x:c r="K115" t="n">
        <x:v>7651.77</x:v>
      </x:c>
      <x:c r="L115" t="n">
        <x:v>22505.21</x:v>
      </x:c>
      <x:c r="M115" t="str">
        <x:v>SEM_LOCALIZACAO</x:v>
      </x:c>
      <x:c r="N115" t="str">
        <x:v>SIMULADO</x:v>
      </x:c>
    </x:row>
    <x:row r="116">
      <x:c r="A116" t="str">
        <x:v>DIRIGIDA_EXCECAO</x:v>
      </x:c>
      <x:c r="B116" t="str">
        <x:v>ATV-0001545</x:v>
      </x:c>
      <x:c r="C116" t="str">
        <x:v>Edificações</x:v>
      </x:c>
      <x:c r="D116" t="str"/>
      <x:c r="E116" t="str">
        <x:v>2019-03-03</x:v>
      </x:c>
      <x:c r="F116" t="str">
        <x:v>2019-07-31</x:v>
      </x:c>
      <x:c r="G116" t="str">
        <x:v>ATIVO</x:v>
      </x:c>
      <x:c r="H116" t="str">
        <x:v>RESP-045</x:v>
      </x:c>
      <x:c r="I116" t="str">
        <x:v>DOC-SIM-0001545</x:v>
      </x:c>
      <x:c r="J116" t="n">
        <x:v>62026.33</x:v>
      </x:c>
      <x:c r="K116" t="n">
        <x:v>34459.07</x:v>
      </x:c>
      <x:c r="L116" t="n">
        <x:v>27567.26</x:v>
      </x:c>
      <x:c r="M116" t="str">
        <x:v>SEM_LOCALIZACAO</x:v>
      </x:c>
      <x:c r="N116" t="str">
        <x:v>SIMULADO</x:v>
      </x:c>
    </x:row>
    <x:row r="117">
      <x:c r="A117" t="str">
        <x:v>DIRIGIDA_EXCECAO</x:v>
      </x:c>
      <x:c r="B117" t="str">
        <x:v>ATV-0001546</x:v>
      </x:c>
      <x:c r="C117" t="str">
        <x:v>Infraestrutura de mina</x:v>
      </x:c>
      <x:c r="D117" t="str"/>
      <x:c r="E117" t="str">
        <x:v>2014-12-14</x:v>
      </x:c>
      <x:c r="F117" t="str">
        <x:v>2014-12-27</x:v>
      </x:c>
      <x:c r="G117" t="str">
        <x:v>ATIVO</x:v>
      </x:c>
      <x:c r="H117" t="str">
        <x:v>RESP-046</x:v>
      </x:c>
      <x:c r="I117" t="str">
        <x:v>DOC-SIM-0001546</x:v>
      </x:c>
      <x:c r="J117" t="n">
        <x:v>34278.37</x:v>
      </x:c>
      <x:c r="K117" t="n">
        <x:v>10638.11</x:v>
      </x:c>
      <x:c r="L117" t="n">
        <x:v>23640.26</x:v>
      </x:c>
      <x:c r="M117" t="str">
        <x:v>SEM_LOCALIZACAO</x:v>
      </x:c>
      <x:c r="N117" t="str">
        <x:v>SIMULADO</x:v>
      </x:c>
    </x:row>
    <x:row r="118">
      <x:c r="A118" t="str">
        <x:v>DIRIGIDA_EXCECAO</x:v>
      </x:c>
      <x:c r="B118" t="str">
        <x:v>ATV-0001547</x:v>
      </x:c>
      <x:c r="C118" t="str">
        <x:v>Direito de uso</x:v>
      </x:c>
      <x:c r="D118" t="str"/>
      <x:c r="E118" t="str">
        <x:v>2012-06-14</x:v>
      </x:c>
      <x:c r="F118" t="str">
        <x:v>2012-11-16</x:v>
      </x:c>
      <x:c r="G118" t="str">
        <x:v>ATIVO</x:v>
      </x:c>
      <x:c r="H118" t="str">
        <x:v>RESP-047</x:v>
      </x:c>
      <x:c r="I118" t="str">
        <x:v>DOC-SIM-0001547</x:v>
      </x:c>
      <x:c r="J118" t="n">
        <x:v>20958.67</x:v>
      </x:c>
      <x:c r="K118" t="n">
        <x:v>6094.36</x:v>
      </x:c>
      <x:c r="L118" t="n">
        <x:v>14864.31</x:v>
      </x:c>
      <x:c r="M118" t="str">
        <x:v>SEM_LOCALIZACAO</x:v>
      </x:c>
      <x:c r="N118" t="str">
        <x:v>SIMULADO</x:v>
      </x:c>
    </x:row>
    <x:row r="119">
      <x:c r="A119" t="str">
        <x:v>DIRIGIDA_EXCECAO</x:v>
      </x:c>
      <x:c r="B119" t="str">
        <x:v>ATV-0001548</x:v>
      </x:c>
      <x:c r="C119" t="str">
        <x:v>Máquinas e equipamentos</x:v>
      </x:c>
      <x:c r="D119" t="str"/>
      <x:c r="E119" t="str">
        <x:v>2023-09-14</x:v>
      </x:c>
      <x:c r="F119" t="str">
        <x:v>2023-12-05</x:v>
      </x:c>
      <x:c r="G119" t="str">
        <x:v>ATIVO</x:v>
      </x:c>
      <x:c r="H119" t="str">
        <x:v>RESP-048</x:v>
      </x:c>
      <x:c r="I119" t="str">
        <x:v>DOC-SIM-0001548</x:v>
      </x:c>
      <x:c r="J119" t="n">
        <x:v>70980.18</x:v>
      </x:c>
      <x:c r="K119" t="n">
        <x:v>38420.46</x:v>
      </x:c>
      <x:c r="L119" t="n">
        <x:v>32559.72</x:v>
      </x:c>
      <x:c r="M119" t="str">
        <x:v>SEM_LOCALIZACAO</x:v>
      </x:c>
      <x:c r="N119" t="str">
        <x:v>SIMULADO</x:v>
      </x:c>
    </x:row>
    <x:row r="120">
      <x:c r="A120" t="str">
        <x:v>DIRIGIDA_EXCECAO</x:v>
      </x:c>
      <x:c r="B120" t="str">
        <x:v>ATV-0001549</x:v>
      </x:c>
      <x:c r="C120" t="str">
        <x:v>Instalações industriais</x:v>
      </x:c>
      <x:c r="D120" t="str"/>
      <x:c r="E120" t="str">
        <x:v>2013-07-06</x:v>
      </x:c>
      <x:c r="F120" t="str">
        <x:v>2013-07-27</x:v>
      </x:c>
      <x:c r="G120" t="str">
        <x:v>ATIVO</x:v>
      </x:c>
      <x:c r="H120" t="str">
        <x:v>RESP-049</x:v>
      </x:c>
      <x:c r="I120" t="str">
        <x:v>DOC-SIM-0001549</x:v>
      </x:c>
      <x:c r="J120" t="n">
        <x:v>44816.16</x:v>
      </x:c>
      <x:c r="K120" t="n">
        <x:v>24163.55</x:v>
      </x:c>
      <x:c r="L120" t="n">
        <x:v>20652.61</x:v>
      </x:c>
      <x:c r="M120" t="str">
        <x:v>SEM_LOCALIZACAO</x:v>
      </x:c>
      <x:c r="N120" t="str">
        <x:v>SIMULADO</x:v>
      </x:c>
    </x:row>
    <x:row r="121">
      <x:c r="A121" t="str">
        <x:v>DIRIGIDA_EXCECAO</x:v>
      </x:c>
      <x:c r="B121" t="str">
        <x:v>ATV-0001550</x:v>
      </x:c>
      <x:c r="C121" t="str">
        <x:v>Obras em andamento</x:v>
      </x:c>
      <x:c r="D121" t="str"/>
      <x:c r="E121" t="str">
        <x:v>2021-11-11</x:v>
      </x:c>
      <x:c r="F121" t="str">
        <x:v>2022-03-15</x:v>
      </x:c>
      <x:c r="G121" t="str">
        <x:v>ATIVO</x:v>
      </x:c>
      <x:c r="H121" t="str">
        <x:v>RESP-050</x:v>
      </x:c>
      <x:c r="I121" t="str">
        <x:v>DOC-SIM-0001550</x:v>
      </x:c>
      <x:c r="J121" t="n">
        <x:v>42936.04</x:v>
      </x:c>
      <x:c r="K121" t="n">
        <x:v>0</x:v>
      </x:c>
      <x:c r="L121" t="n">
        <x:v>42936.04</x:v>
      </x:c>
      <x:c r="M121" t="str">
        <x:v>SEM_LOCALIZACAO</x:v>
      </x:c>
      <x:c r="N121" t="str">
        <x:v>SIMULADO</x:v>
      </x:c>
    </x:row>
    <x:row r="122">
      <x:c r="A122" t="str">
        <x:v>DIRIGIDA_EXCECAO</x:v>
      </x:c>
      <x:c r="B122" t="str">
        <x:v>ATV-0001551</x:v>
      </x:c>
      <x:c r="C122" t="str">
        <x:v>Veículos e equipamentos móveis</x:v>
      </x:c>
      <x:c r="D122" t="str"/>
      <x:c r="E122" t="str">
        <x:v>2012-10-30</x:v>
      </x:c>
      <x:c r="F122" t="str">
        <x:v>2012-10-30</x:v>
      </x:c>
      <x:c r="G122" t="str">
        <x:v>ATIVO</x:v>
      </x:c>
      <x:c r="H122" t="str">
        <x:v>RESP-051</x:v>
      </x:c>
      <x:c r="I122" t="str">
        <x:v>DOC-SIM-0001551</x:v>
      </x:c>
      <x:c r="J122" t="n">
        <x:v>54132.11</x:v>
      </x:c>
      <x:c r="K122" t="n">
        <x:v>10826.42</x:v>
      </x:c>
      <x:c r="L122" t="n">
        <x:v>43305.69</x:v>
      </x:c>
      <x:c r="M122" t="str">
        <x:v>SEM_LOCALIZACAO</x:v>
      </x:c>
      <x:c r="N122" t="str">
        <x:v>SIMULADO</x:v>
      </x:c>
    </x:row>
    <x:row r="123">
      <x:c r="A123" t="str">
        <x:v>DIRIGIDA_EXCECAO</x:v>
      </x:c>
      <x:c r="B123" t="str">
        <x:v>ATV-0001552</x:v>
      </x:c>
      <x:c r="C123" t="str">
        <x:v>Edificações</x:v>
      </x:c>
      <x:c r="D123" t="str"/>
      <x:c r="E123" t="str">
        <x:v>2013-01-23</x:v>
      </x:c>
      <x:c r="F123" t="str">
        <x:v>2013-01-27</x:v>
      </x:c>
      <x:c r="G123" t="str">
        <x:v>ATIVO</x:v>
      </x:c>
      <x:c r="H123" t="str">
        <x:v>RESP-052</x:v>
      </x:c>
      <x:c r="I123" t="str">
        <x:v>DOC-SIM-0001552</x:v>
      </x:c>
      <x:c r="J123" t="n">
        <x:v>23877.96</x:v>
      </x:c>
      <x:c r="K123" t="n">
        <x:v>3812.44</x:v>
      </x:c>
      <x:c r="L123" t="n">
        <x:v>20065.52</x:v>
      </x:c>
      <x:c r="M123" t="str">
        <x:v>SEM_LOCALIZACAO</x:v>
      </x:c>
      <x:c r="N123" t="str">
        <x:v>SIMULADO</x:v>
      </x:c>
    </x:row>
    <x:row r="124">
      <x:c r="A124" t="str">
        <x:v>DIRIGIDA_EXCECAO</x:v>
      </x:c>
      <x:c r="B124" t="str">
        <x:v>ATV-0001553</x:v>
      </x:c>
      <x:c r="C124" t="str">
        <x:v>Infraestrutura de mina</x:v>
      </x:c>
      <x:c r="D124" t="str"/>
      <x:c r="E124" t="str">
        <x:v>2023-06-17</x:v>
      </x:c>
      <x:c r="F124" t="str">
        <x:v>2023-11-02</x:v>
      </x:c>
      <x:c r="G124" t="str">
        <x:v>ATIVO</x:v>
      </x:c>
      <x:c r="H124" t="str">
        <x:v>RESP-053</x:v>
      </x:c>
      <x:c r="I124" t="str">
        <x:v>DOC-SIM-0001553</x:v>
      </x:c>
      <x:c r="J124" t="n">
        <x:v>71345.85</x:v>
      </x:c>
      <x:c r="K124" t="n">
        <x:v>40856.17</x:v>
      </x:c>
      <x:c r="L124" t="n">
        <x:v>30489.68</x:v>
      </x:c>
      <x:c r="M124" t="str">
        <x:v>SEM_LOCALIZACAO</x:v>
      </x:c>
      <x:c r="N124" t="str">
        <x:v>SIMULADO</x:v>
      </x:c>
    </x:row>
    <x:row r="125">
      <x:c r="A125" t="str">
        <x:v>DIRIGIDA_EXCECAO</x:v>
      </x:c>
      <x:c r="B125" t="str">
        <x:v>ATV-0001554</x:v>
      </x:c>
      <x:c r="C125" t="str">
        <x:v>Direito de uso</x:v>
      </x:c>
      <x:c r="D125" t="str"/>
      <x:c r="E125" t="str">
        <x:v>2012-05-22</x:v>
      </x:c>
      <x:c r="F125" t="str">
        <x:v>2012-11-06</x:v>
      </x:c>
      <x:c r="G125" t="str">
        <x:v>ATIVO</x:v>
      </x:c>
      <x:c r="H125" t="str">
        <x:v>RESP-054</x:v>
      </x:c>
      <x:c r="I125" t="str">
        <x:v>DOC-SIM-0001554</x:v>
      </x:c>
      <x:c r="J125" t="n">
        <x:v>8450.81</x:v>
      </x:c>
      <x:c r="K125" t="n">
        <x:v>2740.8</x:v>
      </x:c>
      <x:c r="L125" t="n">
        <x:v>5710.01</x:v>
      </x:c>
      <x:c r="M125" t="str">
        <x:v>SEM_LOCALIZACAO</x:v>
      </x:c>
      <x:c r="N125" t="str">
        <x:v>SIMULADO</x:v>
      </x:c>
    </x:row>
    <x:row r="126">
      <x:c r="A126" t="str">
        <x:v>DIRIGIDA_EXCECAO</x:v>
      </x:c>
      <x:c r="B126" t="str">
        <x:v>ATV-0001555</x:v>
      </x:c>
      <x:c r="C126" t="str">
        <x:v>Máquinas e equipamentos</x:v>
      </x:c>
      <x:c r="D126" t="str"/>
      <x:c r="E126" t="str">
        <x:v>2020-03-04</x:v>
      </x:c>
      <x:c r="F126" t="str">
        <x:v>2020-08-27</x:v>
      </x:c>
      <x:c r="G126" t="str">
        <x:v>ATIVO</x:v>
      </x:c>
      <x:c r="H126" t="str">
        <x:v>RESP-055</x:v>
      </x:c>
      <x:c r="I126" t="str">
        <x:v>DOC-SIM-0001555</x:v>
      </x:c>
      <x:c r="J126" t="n">
        <x:v>66001.73</x:v>
      </x:c>
      <x:c r="K126" t="n">
        <x:v>35159.8</x:v>
      </x:c>
      <x:c r="L126" t="n">
        <x:v>30841.93</x:v>
      </x:c>
      <x:c r="M126" t="str">
        <x:v>SEM_LOCALIZACAO</x:v>
      </x:c>
      <x:c r="N126" t="str">
        <x:v>SIMULADO</x:v>
      </x:c>
    </x:row>
    <x:row r="127">
      <x:c r="A127" t="str">
        <x:v>DIRIGIDA_EXCECAO</x:v>
      </x:c>
      <x:c r="B127" t="str">
        <x:v>ATV-0001556</x:v>
      </x:c>
      <x:c r="C127" t="str">
        <x:v>Instalações industriais</x:v>
      </x:c>
      <x:c r="D127" t="str"/>
      <x:c r="E127" t="str">
        <x:v>2013-12-27</x:v>
      </x:c>
      <x:c r="F127" t="str">
        <x:v>2014-02-28</x:v>
      </x:c>
      <x:c r="G127" t="str">
        <x:v>ATIVO</x:v>
      </x:c>
      <x:c r="H127" t="str">
        <x:v>RESP-056</x:v>
      </x:c>
      <x:c r="I127" t="str">
        <x:v>DOC-SIM-0001556</x:v>
      </x:c>
      <x:c r="J127" t="n">
        <x:v>85784.14</x:v>
      </x:c>
      <x:c r="K127" t="n">
        <x:v>48966.91</x:v>
      </x:c>
      <x:c r="L127" t="n">
        <x:v>36817.23</x:v>
      </x:c>
      <x:c r="M127" t="str">
        <x:v>SEM_LOCALIZACAO</x:v>
      </x:c>
      <x:c r="N127" t="str">
        <x:v>SIMULADO</x:v>
      </x:c>
    </x:row>
    <x:row r="128">
      <x:c r="A128" t="str">
        <x:v>DIRIGIDA_EXCECAO</x:v>
      </x:c>
      <x:c r="B128" t="str">
        <x:v>ATV-0001557</x:v>
      </x:c>
      <x:c r="C128" t="str">
        <x:v>Obras em andamento</x:v>
      </x:c>
      <x:c r="D128" t="str"/>
      <x:c r="E128" t="str">
        <x:v>2025-12-08</x:v>
      </x:c>
      <x:c r="F128" t="str">
        <x:v>2026-01-22</x:v>
      </x:c>
      <x:c r="G128" t="str">
        <x:v>ATIVO</x:v>
      </x:c>
      <x:c r="H128" t="str">
        <x:v>RESP-057</x:v>
      </x:c>
      <x:c r="I128" t="str">
        <x:v>DOC-SIM-0001557</x:v>
      </x:c>
      <x:c r="J128" t="n">
        <x:v>3178.99</x:v>
      </x:c>
      <x:c r="K128" t="n">
        <x:v>0</x:v>
      </x:c>
      <x:c r="L128" t="n">
        <x:v>3178.99</x:v>
      </x:c>
      <x:c r="M128" t="str">
        <x:v>SEM_LOCALIZACAO</x:v>
      </x:c>
      <x:c r="N128" t="str">
        <x:v>SIMULADO</x:v>
      </x:c>
    </x:row>
    <x:row r="129">
      <x:c r="A129" t="str">
        <x:v>DIRIGIDA_EXCECAO</x:v>
      </x:c>
      <x:c r="B129" t="str">
        <x:v>ATV-0001558</x:v>
      </x:c>
      <x:c r="C129" t="str">
        <x:v>Veículos e equipamentos móveis</x:v>
      </x:c>
      <x:c r="D129" t="str"/>
      <x:c r="E129" t="str">
        <x:v>2025-02-18</x:v>
      </x:c>
      <x:c r="F129" t="str">
        <x:v>2025-04-26</x:v>
      </x:c>
      <x:c r="G129" t="str">
        <x:v>ATIVO</x:v>
      </x:c>
      <x:c r="H129" t="str">
        <x:v>RESP-058</x:v>
      </x:c>
      <x:c r="I129" t="str">
        <x:v>DOC-SIM-0001558</x:v>
      </x:c>
      <x:c r="J129" t="n">
        <x:v>37127.64</x:v>
      </x:c>
      <x:c r="K129" t="n">
        <x:v>14761.59</x:v>
      </x:c>
      <x:c r="L129" t="n">
        <x:v>22366.05</x:v>
      </x:c>
      <x:c r="M129" t="str">
        <x:v>SEM_LOCALIZACAO</x:v>
      </x:c>
      <x:c r="N129" t="str">
        <x:v>SIMULADO</x:v>
      </x:c>
    </x:row>
    <x:row r="130">
      <x:c r="A130" t="str">
        <x:v>DIRIGIDA_EXCECAO</x:v>
      </x:c>
      <x:c r="B130" t="str">
        <x:v>ATV-0001559</x:v>
      </x:c>
      <x:c r="C130" t="str">
        <x:v>Edificações</x:v>
      </x:c>
      <x:c r="D130" t="str"/>
      <x:c r="E130" t="str">
        <x:v>2022-12-26</x:v>
      </x:c>
      <x:c r="F130" t="str">
        <x:v>2023-05-03</x:v>
      </x:c>
      <x:c r="G130" t="str">
        <x:v>ATIVO</x:v>
      </x:c>
      <x:c r="H130" t="str">
        <x:v>RESP-059</x:v>
      </x:c>
      <x:c r="I130" t="str">
        <x:v>DOC-SIM-0001559</x:v>
      </x:c>
      <x:c r="J130" t="n">
        <x:v>68550.15</x:v>
      </x:c>
      <x:c r="K130" t="n">
        <x:v>40908.96</x:v>
      </x:c>
      <x:c r="L130" t="n">
        <x:v>27641.19</x:v>
      </x:c>
      <x:c r="M130" t="str">
        <x:v>SEM_LOCALIZACAO</x:v>
      </x:c>
      <x:c r="N130" t="str">
        <x:v>SIMULADO</x:v>
      </x:c>
    </x:row>
    <x:row r="131">
      <x:c r="A131" t="str">
        <x:v>DIRIGIDA_EXCECAO</x:v>
      </x:c>
      <x:c r="B131" t="str">
        <x:v>ATV-0001560</x:v>
      </x:c>
      <x:c r="C131" t="str">
        <x:v>Infraestrutura de mina</x:v>
      </x:c>
      <x:c r="D131" t="str"/>
      <x:c r="E131" t="str">
        <x:v>2024-11-06</x:v>
      </x:c>
      <x:c r="F131" t="str">
        <x:v>2024-12-17</x:v>
      </x:c>
      <x:c r="G131" t="str">
        <x:v>ATIVO</x:v>
      </x:c>
      <x:c r="H131" t="str">
        <x:v>RESP-060</x:v>
      </x:c>
      <x:c r="I131" t="str">
        <x:v>DOC-SIM-0001560</x:v>
      </x:c>
      <x:c r="J131" t="n">
        <x:v>42254.79</x:v>
      </x:c>
      <x:c r="K131" t="n">
        <x:v>6746.56</x:v>
      </x:c>
      <x:c r="L131" t="n">
        <x:v>35508.23</x:v>
      </x:c>
      <x:c r="M131" t="str">
        <x:v>SEM_LOCALIZACAO</x:v>
      </x:c>
      <x:c r="N131" t="str">
        <x:v>SIMULADO</x:v>
      </x:c>
    </x:row>
    <x:row r="132">
      <x:c r="A132" t="str">
        <x:v>DIRIGIDA_EXCECAO</x:v>
      </x:c>
      <x:c r="B132" t="str">
        <x:v>ATV-0002501</x:v>
      </x:c>
      <x:c r="C132" t="str">
        <x:v>Instalações industriais</x:v>
      </x:c>
      <x:c r="D132" t="str">
        <x:v>Congonhas/MG</x:v>
      </x:c>
      <x:c r="E132" t="str">
        <x:v>2018-11-08</x:v>
      </x:c>
      <x:c r="F132" t="str">
        <x:v>2026-01-15</x:v>
      </x:c>
      <x:c r="G132" t="str">
        <x:v>ATIVO</x:v>
      </x:c>
      <x:c r="H132" t="str">
        <x:v>RESP-001</x:v>
      </x:c>
      <x:c r="I132" t="str">
        <x:v>DOC-SIM-0002501</x:v>
      </x:c>
      <x:c r="J132" t="n">
        <x:v>57738.6</x:v>
      </x:c>
      <x:c r="K132" t="n">
        <x:v>17642.35</x:v>
      </x:c>
      <x:c r="L132" t="n">
        <x:v>40096.25</x:v>
      </x:c>
      <x:c r="M132" t="str">
        <x:v>DATA_FUTURA</x:v>
      </x:c>
      <x:c r="N132" t="str">
        <x:v>SIMULADO</x:v>
      </x:c>
    </x:row>
    <x:row r="133">
      <x:c r="A133" t="str">
        <x:v>DIRIGIDA_EXCECAO</x:v>
      </x:c>
      <x:c r="B133" t="str">
        <x:v>ATV-0002502</x:v>
      </x:c>
      <x:c r="C133" t="str">
        <x:v>Obras em andamento</x:v>
      </x:c>
      <x:c r="D133" t="str">
        <x:v>Arcos/MG</x:v>
      </x:c>
      <x:c r="E133" t="str">
        <x:v>2012-01-06</x:v>
      </x:c>
      <x:c r="F133" t="str">
        <x:v>2026-01-15</x:v>
      </x:c>
      <x:c r="G133" t="str">
        <x:v>ATIVO</x:v>
      </x:c>
      <x:c r="H133" t="str">
        <x:v>RESP-002</x:v>
      </x:c>
      <x:c r="I133" t="str">
        <x:v>DOC-SIM-0002502</x:v>
      </x:c>
      <x:c r="J133" t="n">
        <x:v>19630.63</x:v>
      </x:c>
      <x:c r="K133" t="n">
        <x:v>0</x:v>
      </x:c>
      <x:c r="L133" t="n">
        <x:v>19630.63</x:v>
      </x:c>
      <x:c r="M133" t="str">
        <x:v>DATA_FUTURA</x:v>
      </x:c>
      <x:c r="N133" t="str">
        <x:v>SIMULADO</x:v>
      </x:c>
    </x:row>
    <x:row r="134">
      <x:c r="A134" t="str">
        <x:v>DIRIGIDA_EXCECAO</x:v>
      </x:c>
      <x:c r="B134" t="str">
        <x:v>ATV-0002503</x:v>
      </x:c>
      <x:c r="C134" t="str">
        <x:v>Veículos e equipamentos móveis</x:v>
      </x:c>
      <x:c r="D134" t="str">
        <x:v>Operação logística</x:v>
      </x:c>
      <x:c r="E134" t="str">
        <x:v>2023-01-31</x:v>
      </x:c>
      <x:c r="F134" t="str">
        <x:v>2026-01-15</x:v>
      </x:c>
      <x:c r="G134" t="str">
        <x:v>ATIVO</x:v>
      </x:c>
      <x:c r="H134" t="str">
        <x:v>RESP-003</x:v>
      </x:c>
      <x:c r="I134" t="str">
        <x:v>DOC-SIM-0002503</x:v>
      </x:c>
      <x:c r="J134" t="n">
        <x:v>12287.31</x:v>
      </x:c>
      <x:c r="K134" t="n">
        <x:v>4559.44</x:v>
      </x:c>
      <x:c r="L134" t="n">
        <x:v>7727.87</x:v>
      </x:c>
      <x:c r="M134" t="str">
        <x:v>DATA_FUTURA</x:v>
      </x:c>
      <x:c r="N134" t="str">
        <x:v>SIMULADO</x:v>
      </x:c>
    </x:row>
    <x:row r="135">
      <x:c r="A135" t="str">
        <x:v>DIRIGIDA_EXCECAO</x:v>
      </x:c>
      <x:c r="B135" t="str">
        <x:v>ATV-0002504</x:v>
      </x:c>
      <x:c r="C135" t="str">
        <x:v>Edificações</x:v>
      </x:c>
      <x:c r="D135" t="str">
        <x:v>Outras unidades</x:v>
      </x:c>
      <x:c r="E135" t="str">
        <x:v>2015-12-30</x:v>
      </x:c>
      <x:c r="F135" t="str">
        <x:v>2026-01-15</x:v>
      </x:c>
      <x:c r="G135" t="str">
        <x:v>ATIVO</x:v>
      </x:c>
      <x:c r="H135" t="str">
        <x:v>RESP-004</x:v>
      </x:c>
      <x:c r="I135" t="str">
        <x:v>DOC-SIM-0002504</x:v>
      </x:c>
      <x:c r="J135" t="n">
        <x:v>69497.84</x:v>
      </x:c>
      <x:c r="K135" t="n">
        <x:v>38882.05</x:v>
      </x:c>
      <x:c r="L135" t="n">
        <x:v>30615.79</x:v>
      </x:c>
      <x:c r="M135" t="str">
        <x:v>DATA_FUTURA</x:v>
      </x:c>
      <x:c r="N135" t="str">
        <x:v>SIMULADO</x:v>
      </x:c>
    </x:row>
    <x:row r="136">
      <x:c r="A136" t="str">
        <x:v>DIRIGIDA_EXCECAO</x:v>
      </x:c>
      <x:c r="B136" t="str">
        <x:v>ATV-0002505</x:v>
      </x:c>
      <x:c r="C136" t="str">
        <x:v>Infraestrutura de mina</x:v>
      </x:c>
      <x:c r="D136" t="str">
        <x:v>Congonhas/MG</x:v>
      </x:c>
      <x:c r="E136" t="str">
        <x:v>2017-03-08</x:v>
      </x:c>
      <x:c r="F136" t="str">
        <x:v>2026-01-15</x:v>
      </x:c>
      <x:c r="G136" t="str">
        <x:v>ATIVO</x:v>
      </x:c>
      <x:c r="H136" t="str">
        <x:v>RESP-005</x:v>
      </x:c>
      <x:c r="I136" t="str">
        <x:v>DOC-SIM-0002505</x:v>
      </x:c>
      <x:c r="J136" t="n">
        <x:v>54381.28</x:v>
      </x:c>
      <x:c r="K136" t="n">
        <x:v>30941.07</x:v>
      </x:c>
      <x:c r="L136" t="n">
        <x:v>23440.21</x:v>
      </x:c>
      <x:c r="M136" t="str">
        <x:v>DATA_FUTURA</x:v>
      </x:c>
      <x:c r="N136" t="str">
        <x:v>SIMULADO</x:v>
      </x:c>
    </x:row>
    <x:row r="137">
      <x:c r="A137" t="str">
        <x:v>DIRIGIDA_EXCECAO</x:v>
      </x:c>
      <x:c r="B137" t="str">
        <x:v>ATV-0002506</x:v>
      </x:c>
      <x:c r="C137" t="str">
        <x:v>Direito de uso</x:v>
      </x:c>
      <x:c r="D137" t="str">
        <x:v>Arcos/MG</x:v>
      </x:c>
      <x:c r="E137" t="str">
        <x:v>2016-03-22</x:v>
      </x:c>
      <x:c r="F137" t="str">
        <x:v>2026-01-15</x:v>
      </x:c>
      <x:c r="G137" t="str">
        <x:v>ATIVO</x:v>
      </x:c>
      <x:c r="H137" t="str">
        <x:v>RESP-006</x:v>
      </x:c>
      <x:c r="I137" t="str">
        <x:v>DOC-SIM-0002506</x:v>
      </x:c>
      <x:c r="J137" t="n">
        <x:v>37777.44</x:v>
      </x:c>
      <x:c r="K137" t="n">
        <x:v>8031.42</x:v>
      </x:c>
      <x:c r="L137" t="n">
        <x:v>29746.02</x:v>
      </x:c>
      <x:c r="M137" t="str">
        <x:v>DATA_FUTURA</x:v>
      </x:c>
      <x:c r="N137" t="str">
        <x:v>SIMULADO</x:v>
      </x:c>
    </x:row>
    <x:row r="138">
      <x:c r="A138" t="str">
        <x:v>DIRIGIDA_EXCECAO</x:v>
      </x:c>
      <x:c r="B138" t="str">
        <x:v>ATV-0002507</x:v>
      </x:c>
      <x:c r="C138" t="str">
        <x:v>Máquinas e equipamentos</x:v>
      </x:c>
      <x:c r="D138" t="str">
        <x:v>Operação logística</x:v>
      </x:c>
      <x:c r="E138" t="str">
        <x:v>2022-04-14</x:v>
      </x:c>
      <x:c r="F138" t="str">
        <x:v>2026-01-15</x:v>
      </x:c>
      <x:c r="G138" t="str">
        <x:v>ATIVO</x:v>
      </x:c>
      <x:c r="H138" t="str">
        <x:v>RESP-007</x:v>
      </x:c>
      <x:c r="I138" t="str">
        <x:v>DOC-SIM-0002507</x:v>
      </x:c>
      <x:c r="J138" t="n">
        <x:v>37312.99</x:v>
      </x:c>
      <x:c r="K138" t="n">
        <x:v>19374.05</x:v>
      </x:c>
      <x:c r="L138" t="n">
        <x:v>17938.94</x:v>
      </x:c>
      <x:c r="M138" t="str">
        <x:v>DATA_FUTURA</x:v>
      </x:c>
      <x:c r="N138" t="str">
        <x:v>SIMULADO</x:v>
      </x:c>
    </x:row>
    <x:row r="139">
      <x:c r="A139" t="str">
        <x:v>DIRIGIDA_EXCECAO</x:v>
      </x:c>
      <x:c r="B139" t="str">
        <x:v>ATV-0002508</x:v>
      </x:c>
      <x:c r="C139" t="str">
        <x:v>Instalações industriais</x:v>
      </x:c>
      <x:c r="D139" t="str">
        <x:v>Outras unidades</x:v>
      </x:c>
      <x:c r="E139" t="str">
        <x:v>2019-06-26</x:v>
      </x:c>
      <x:c r="F139" t="str">
        <x:v>2026-01-15</x:v>
      </x:c>
      <x:c r="G139" t="str">
        <x:v>ATIVO</x:v>
      </x:c>
      <x:c r="H139" t="str">
        <x:v>RESP-008</x:v>
      </x:c>
      <x:c r="I139" t="str">
        <x:v>DOC-SIM-0002508</x:v>
      </x:c>
      <x:c r="J139" t="n">
        <x:v>17278.78</x:v>
      </x:c>
      <x:c r="K139" t="n">
        <x:v>3884.37</x:v>
      </x:c>
      <x:c r="L139" t="n">
        <x:v>13394.41</x:v>
      </x:c>
      <x:c r="M139" t="str">
        <x:v>DATA_FUTURA</x:v>
      </x:c>
      <x:c r="N139" t="str">
        <x:v>SIMULADO</x:v>
      </x:c>
    </x:row>
    <x:row r="140">
      <x:c r="A140" t="str">
        <x:v>DIRIGIDA_EXCECAO</x:v>
      </x:c>
      <x:c r="B140" t="str">
        <x:v>ATV-0002509</x:v>
      </x:c>
      <x:c r="C140" t="str">
        <x:v>Obras em andamento</x:v>
      </x:c>
      <x:c r="D140" t="str">
        <x:v>Congonhas/MG</x:v>
      </x:c>
      <x:c r="E140" t="str">
        <x:v>2015-07-08</x:v>
      </x:c>
      <x:c r="F140" t="str">
        <x:v>2026-01-15</x:v>
      </x:c>
      <x:c r="G140" t="str">
        <x:v>ATIVO</x:v>
      </x:c>
      <x:c r="H140" t="str">
        <x:v>RESP-009</x:v>
      </x:c>
      <x:c r="I140" t="str">
        <x:v>DOC-SIM-0002509</x:v>
      </x:c>
      <x:c r="J140" t="n">
        <x:v>39283.02</x:v>
      </x:c>
      <x:c r="K140" t="n">
        <x:v>0</x:v>
      </x:c>
      <x:c r="L140" t="n">
        <x:v>39283.02</x:v>
      </x:c>
      <x:c r="M140" t="str">
        <x:v>DATA_FUTURA</x:v>
      </x:c>
      <x:c r="N140" t="str">
        <x:v>SIMULADO</x:v>
      </x:c>
    </x:row>
    <x:row r="141">
      <x:c r="A141" t="str">
        <x:v>DIRIGIDA_EXCECAO</x:v>
      </x:c>
      <x:c r="B141" t="str">
        <x:v>ATV-0002510</x:v>
      </x:c>
      <x:c r="C141" t="str">
        <x:v>Veículos e equipamentos móveis</x:v>
      </x:c>
      <x:c r="D141" t="str">
        <x:v>Arcos/MG</x:v>
      </x:c>
      <x:c r="E141" t="str">
        <x:v>2012-03-31</x:v>
      </x:c>
      <x:c r="F141" t="str">
        <x:v>2026-01-15</x:v>
      </x:c>
      <x:c r="G141" t="str">
        <x:v>ATIVO</x:v>
      </x:c>
      <x:c r="H141" t="str">
        <x:v>RESP-010</x:v>
      </x:c>
      <x:c r="I141" t="str">
        <x:v>DOC-SIM-0002510</x:v>
      </x:c>
      <x:c r="J141" t="n">
        <x:v>14513.34</x:v>
      </x:c>
      <x:c r="K141" t="n">
        <x:v>8203.19</x:v>
      </x:c>
      <x:c r="L141" t="n">
        <x:v>6310.15</x:v>
      </x:c>
      <x:c r="M141" t="str">
        <x:v>DATA_FUTURA</x:v>
      </x:c>
      <x:c r="N141" t="str">
        <x:v>SIMULADO</x:v>
      </x:c>
    </x:row>
    <x:row r="142">
      <x:c r="A142" t="str">
        <x:v>DIRIGIDA_EXCECAO</x:v>
      </x:c>
      <x:c r="B142" t="str">
        <x:v>ATV-0002511</x:v>
      </x:c>
      <x:c r="C142" t="str">
        <x:v>Edificações</x:v>
      </x:c>
      <x:c r="D142" t="str">
        <x:v>Operação logística</x:v>
      </x:c>
      <x:c r="E142" t="str">
        <x:v>2012-02-21</x:v>
      </x:c>
      <x:c r="F142" t="str">
        <x:v>2026-01-15</x:v>
      </x:c>
      <x:c r="G142" t="str">
        <x:v>ATIVO</x:v>
      </x:c>
      <x:c r="H142" t="str">
        <x:v>RESP-011</x:v>
      </x:c>
      <x:c r="I142" t="str">
        <x:v>DOC-SIM-0002511</x:v>
      </x:c>
      <x:c r="J142" t="n">
        <x:v>52633.41</x:v>
      </x:c>
      <x:c r="K142" t="n">
        <x:v>13354.74</x:v>
      </x:c>
      <x:c r="L142" t="n">
        <x:v>39278.67</x:v>
      </x:c>
      <x:c r="M142" t="str">
        <x:v>DATA_FUTURA</x:v>
      </x:c>
      <x:c r="N142" t="str">
        <x:v>SIMULADO</x:v>
      </x:c>
    </x:row>
    <x:row r="143">
      <x:c r="A143" t="str">
        <x:v>DIRIGIDA_EXCECAO</x:v>
      </x:c>
      <x:c r="B143" t="str">
        <x:v>ATV-0002512</x:v>
      </x:c>
      <x:c r="C143" t="str">
        <x:v>Infraestrutura de mina</x:v>
      </x:c>
      <x:c r="D143" t="str">
        <x:v>Outras unidades</x:v>
      </x:c>
      <x:c r="E143" t="str">
        <x:v>2018-08-02</x:v>
      </x:c>
      <x:c r="F143" t="str">
        <x:v>2026-01-15</x:v>
      </x:c>
      <x:c r="G143" t="str">
        <x:v>ATIVO</x:v>
      </x:c>
      <x:c r="H143" t="str">
        <x:v>RESP-012</x:v>
      </x:c>
      <x:c r="I143" t="str">
        <x:v>DOC-SIM-0002512</x:v>
      </x:c>
      <x:c r="J143" t="n">
        <x:v>54599.61</x:v>
      </x:c>
      <x:c r="K143" t="n">
        <x:v>18199.87</x:v>
      </x:c>
      <x:c r="L143" t="n">
        <x:v>36399.74</x:v>
      </x:c>
      <x:c r="M143" t="str">
        <x:v>DATA_FUTURA</x:v>
      </x:c>
      <x:c r="N143" t="str">
        <x:v>SIMULADO</x:v>
      </x:c>
    </x:row>
    <x:row r="144">
      <x:c r="A144" t="str">
        <x:v>DIRIGIDA_EXCECAO</x:v>
      </x:c>
      <x:c r="B144" t="str">
        <x:v>ATV-0002513</x:v>
      </x:c>
      <x:c r="C144" t="str">
        <x:v>Direito de uso</x:v>
      </x:c>
      <x:c r="D144" t="str">
        <x:v>Congonhas/MG</x:v>
      </x:c>
      <x:c r="E144" t="str">
        <x:v>2012-08-30</x:v>
      </x:c>
      <x:c r="F144" t="str">
        <x:v>2026-01-15</x:v>
      </x:c>
      <x:c r="G144" t="str">
        <x:v>ATIVO</x:v>
      </x:c>
      <x:c r="H144" t="str">
        <x:v>RESP-013</x:v>
      </x:c>
      <x:c r="I144" t="str">
        <x:v>DOC-SIM-0002513</x:v>
      </x:c>
      <x:c r="J144" t="n">
        <x:v>10443.68</x:v>
      </x:c>
      <x:c r="K144" t="n">
        <x:v>5299.01</x:v>
      </x:c>
      <x:c r="L144" t="n">
        <x:v>5144.67</x:v>
      </x:c>
      <x:c r="M144" t="str">
        <x:v>DATA_FUTURA</x:v>
      </x:c>
      <x:c r="N144" t="str">
        <x:v>SIMULADO</x:v>
      </x:c>
    </x:row>
    <x:row r="145">
      <x:c r="A145" t="str">
        <x:v>DIRIGIDA_EXCECAO</x:v>
      </x:c>
      <x:c r="B145" t="str">
        <x:v>ATV-0002514</x:v>
      </x:c>
      <x:c r="C145" t="str">
        <x:v>Máquinas e equipamentos</x:v>
      </x:c>
      <x:c r="D145" t="str">
        <x:v>Arcos/MG</x:v>
      </x:c>
      <x:c r="E145" t="str">
        <x:v>2018-02-20</x:v>
      </x:c>
      <x:c r="F145" t="str">
        <x:v>2026-01-15</x:v>
      </x:c>
      <x:c r="G145" t="str">
        <x:v>ATIVO</x:v>
      </x:c>
      <x:c r="H145" t="str">
        <x:v>RESP-014</x:v>
      </x:c>
      <x:c r="I145" t="str">
        <x:v>DOC-SIM-0002514</x:v>
      </x:c>
      <x:c r="J145" t="n">
        <x:v>1242.66</x:v>
      </x:c>
      <x:c r="K145" t="n">
        <x:v>264.18</x:v>
      </x:c>
      <x:c r="L145" t="n">
        <x:v>978.48</x:v>
      </x:c>
      <x:c r="M145" t="str">
        <x:v>DATA_FUTURA</x:v>
      </x:c>
      <x:c r="N145" t="str">
        <x:v>SIMULADO</x:v>
      </x:c>
    </x:row>
    <x:row r="146">
      <x:c r="A146" t="str">
        <x:v>DIRIGIDA_EXCECAO</x:v>
      </x:c>
      <x:c r="B146" t="str">
        <x:v>ATV-0002515</x:v>
      </x:c>
      <x:c r="C146" t="str">
        <x:v>Instalações industriais</x:v>
      </x:c>
      <x:c r="D146" t="str">
        <x:v>Operação logística</x:v>
      </x:c>
      <x:c r="E146" t="str">
        <x:v>2024-06-26</x:v>
      </x:c>
      <x:c r="F146" t="str">
        <x:v>2026-01-15</x:v>
      </x:c>
      <x:c r="G146" t="str">
        <x:v>ATIVO</x:v>
      </x:c>
      <x:c r="H146" t="str">
        <x:v>RESP-015</x:v>
      </x:c>
      <x:c r="I146" t="str">
        <x:v>DOC-SIM-0002515</x:v>
      </x:c>
      <x:c r="J146" t="n">
        <x:v>93791.83</x:v>
      </x:c>
      <x:c r="K146" t="n">
        <x:v>50964.51</x:v>
      </x:c>
      <x:c r="L146" t="n">
        <x:v>42827.32</x:v>
      </x:c>
      <x:c r="M146" t="str">
        <x:v>DATA_FUTURA</x:v>
      </x:c>
      <x:c r="N146" t="str">
        <x:v>SIMULADO</x:v>
      </x:c>
    </x:row>
    <x:row r="147">
      <x:c r="A147" t="str">
        <x:v>DIRIGIDA_EXCECAO</x:v>
      </x:c>
      <x:c r="B147" t="str">
        <x:v>ATV-0002516</x:v>
      </x:c>
      <x:c r="C147" t="str">
        <x:v>Obras em andamento</x:v>
      </x:c>
      <x:c r="D147" t="str">
        <x:v>Outras unidades</x:v>
      </x:c>
      <x:c r="E147" t="str">
        <x:v>2023-06-10</x:v>
      </x:c>
      <x:c r="F147" t="str">
        <x:v>2026-01-15</x:v>
      </x:c>
      <x:c r="G147" t="str">
        <x:v>ATIVO</x:v>
      </x:c>
      <x:c r="H147" t="str">
        <x:v>RESP-016</x:v>
      </x:c>
      <x:c r="I147" t="str">
        <x:v>DOC-SIM-0002516</x:v>
      </x:c>
      <x:c r="J147" t="n">
        <x:v>5623.04</x:v>
      </x:c>
      <x:c r="K147" t="n">
        <x:v>0</x:v>
      </x:c>
      <x:c r="L147" t="n">
        <x:v>5623.04</x:v>
      </x:c>
      <x:c r="M147" t="str">
        <x:v>DATA_FUTURA</x:v>
      </x:c>
      <x:c r="N147" t="str">
        <x:v>SIMULADO</x:v>
      </x:c>
    </x:row>
    <x:row r="148">
      <x:c r="A148" t="str">
        <x:v>DIRIGIDA_EXCECAO</x:v>
      </x:c>
      <x:c r="B148" t="str">
        <x:v>ATV-0002517</x:v>
      </x:c>
      <x:c r="C148" t="str">
        <x:v>Veículos e equipamentos móveis</x:v>
      </x:c>
      <x:c r="D148" t="str">
        <x:v>Congonhas/MG</x:v>
      </x:c>
      <x:c r="E148" t="str">
        <x:v>2012-10-28</x:v>
      </x:c>
      <x:c r="F148" t="str">
        <x:v>2026-01-15</x:v>
      </x:c>
      <x:c r="G148" t="str">
        <x:v>ATIVO</x:v>
      </x:c>
      <x:c r="H148" t="str">
        <x:v>RESP-017</x:v>
      </x:c>
      <x:c r="I148" t="str">
        <x:v>DOC-SIM-0002517</x:v>
      </x:c>
      <x:c r="J148" t="n">
        <x:v>71906.31</x:v>
      </x:c>
      <x:c r="K148" t="n">
        <x:v>34841.2</x:v>
      </x:c>
      <x:c r="L148" t="n">
        <x:v>37065.11</x:v>
      </x:c>
      <x:c r="M148" t="str">
        <x:v>DATA_FUTURA</x:v>
      </x:c>
      <x:c r="N148" t="str">
        <x:v>SIMULADO</x:v>
      </x:c>
    </x:row>
    <x:row r="149">
      <x:c r="A149" t="str">
        <x:v>DIRIGIDA_EXCECAO</x:v>
      </x:c>
      <x:c r="B149" t="str">
        <x:v>ATV-0002518</x:v>
      </x:c>
      <x:c r="C149" t="str">
        <x:v>Edificações</x:v>
      </x:c>
      <x:c r="D149" t="str">
        <x:v>Arcos/MG</x:v>
      </x:c>
      <x:c r="E149" t="str">
        <x:v>2012-12-21</x:v>
      </x:c>
      <x:c r="F149" t="str">
        <x:v>2026-01-15</x:v>
      </x:c>
      <x:c r="G149" t="str">
        <x:v>ATIVO</x:v>
      </x:c>
      <x:c r="H149" t="str">
        <x:v>RESP-018</x:v>
      </x:c>
      <x:c r="I149" t="str">
        <x:v>DOC-SIM-0002518</x:v>
      </x:c>
      <x:c r="J149" t="n">
        <x:v>5907.54</x:v>
      </x:c>
      <x:c r="K149" t="n">
        <x:v>3185.17</x:v>
      </x:c>
      <x:c r="L149" t="n">
        <x:v>2722.37</x:v>
      </x:c>
      <x:c r="M149" t="str">
        <x:v>DATA_FUTURA</x:v>
      </x:c>
      <x:c r="N149" t="str">
        <x:v>SIMULADO</x:v>
      </x:c>
    </x:row>
    <x:row r="150">
      <x:c r="A150" t="str">
        <x:v>DIRIGIDA_EXCECAO</x:v>
      </x:c>
      <x:c r="B150" t="str">
        <x:v>ATV-0002519</x:v>
      </x:c>
      <x:c r="C150" t="str">
        <x:v>Infraestrutura de mina</x:v>
      </x:c>
      <x:c r="D150" t="str">
        <x:v>Operação logística</x:v>
      </x:c>
      <x:c r="E150" t="str">
        <x:v>2023-10-27</x:v>
      </x:c>
      <x:c r="F150" t="str">
        <x:v>2026-01-15</x:v>
      </x:c>
      <x:c r="G150" t="str">
        <x:v>ATIVO</x:v>
      </x:c>
      <x:c r="H150" t="str">
        <x:v>RESP-019</x:v>
      </x:c>
      <x:c r="I150" t="str">
        <x:v>DOC-SIM-0002519</x:v>
      </x:c>
      <x:c r="J150" t="n">
        <x:v>73678.03</x:v>
      </x:c>
      <x:c r="K150" t="n">
        <x:v>35699.66</x:v>
      </x:c>
      <x:c r="L150" t="n">
        <x:v>37978.37</x:v>
      </x:c>
      <x:c r="M150" t="str">
        <x:v>DATA_FUTURA</x:v>
      </x:c>
      <x:c r="N150" t="str">
        <x:v>SIMULADO</x:v>
      </x:c>
    </x:row>
    <x:row r="151">
      <x:c r="A151" t="str">
        <x:v>DIRIGIDA_EXCECAO</x:v>
      </x:c>
      <x:c r="B151" t="str">
        <x:v>ATV-0002520</x:v>
      </x:c>
      <x:c r="C151" t="str">
        <x:v>Direito de uso</x:v>
      </x:c>
      <x:c r="D151" t="str">
        <x:v>Outras unidades</x:v>
      </x:c>
      <x:c r="E151" t="str">
        <x:v>2013-12-26</x:v>
      </x:c>
      <x:c r="F151" t="str">
        <x:v>2026-01-15</x:v>
      </x:c>
      <x:c r="G151" t="str">
        <x:v>ATIVO</x:v>
      </x:c>
      <x:c r="H151" t="str">
        <x:v>RESP-020</x:v>
      </x:c>
      <x:c r="I151" t="str">
        <x:v>DOC-SIM-0002520</x:v>
      </x:c>
      <x:c r="J151" t="n">
        <x:v>63483.37</x:v>
      </x:c>
      <x:c r="K151" t="n">
        <x:v>23556.72</x:v>
      </x:c>
      <x:c r="L151" t="n">
        <x:v>39926.65</x:v>
      </x:c>
      <x:c r="M151" t="str">
        <x:v>DATA_FUTURA</x:v>
      </x:c>
      <x:c r="N151" t="str">
        <x:v>SIMULADO</x:v>
      </x:c>
    </x:row>
    <x:row r="152">
      <x:c r="A152" t="str">
        <x:v>DIRIGIDA_EXCECAO</x:v>
      </x:c>
      <x:c r="B152" t="str">
        <x:v>ATV-0002521</x:v>
      </x:c>
      <x:c r="C152" t="str">
        <x:v>Máquinas e equipamentos</x:v>
      </x:c>
      <x:c r="D152" t="str">
        <x:v>Congonhas/MG</x:v>
      </x:c>
      <x:c r="E152" t="str">
        <x:v>2020-02-05</x:v>
      </x:c>
      <x:c r="F152" t="str">
        <x:v>2026-01-15</x:v>
      </x:c>
      <x:c r="G152" t="str">
        <x:v>ATIVO</x:v>
      </x:c>
      <x:c r="H152" t="str">
        <x:v>RESP-021</x:v>
      </x:c>
      <x:c r="I152" t="str">
        <x:v>DOC-SIM-0002521</x:v>
      </x:c>
      <x:c r="J152" t="n">
        <x:v>82153.69</x:v>
      </x:c>
      <x:c r="K152" t="n">
        <x:v>43583.88</x:v>
      </x:c>
      <x:c r="L152" t="n">
        <x:v>38569.81</x:v>
      </x:c>
      <x:c r="M152" t="str">
        <x:v>DATA_FUTURA</x:v>
      </x:c>
      <x:c r="N152" t="str">
        <x:v>SIMULADO</x:v>
      </x:c>
    </x:row>
    <x:row r="153">
      <x:c r="A153" t="str">
        <x:v>DIRIGIDA_EXCECAO</x:v>
      </x:c>
      <x:c r="B153" t="str">
        <x:v>ATV-0002522</x:v>
      </x:c>
      <x:c r="C153" t="str">
        <x:v>Instalações industriais</x:v>
      </x:c>
      <x:c r="D153" t="str">
        <x:v>Arcos/MG</x:v>
      </x:c>
      <x:c r="E153" t="str">
        <x:v>2012-09-17</x:v>
      </x:c>
      <x:c r="F153" t="str">
        <x:v>2026-01-15</x:v>
      </x:c>
      <x:c r="G153" t="str">
        <x:v>ATIVO</x:v>
      </x:c>
      <x:c r="H153" t="str">
        <x:v>RESP-022</x:v>
      </x:c>
      <x:c r="I153" t="str">
        <x:v>DOC-SIM-0002522</x:v>
      </x:c>
      <x:c r="J153" t="n">
        <x:v>63732.15</x:v>
      </x:c>
      <x:c r="K153" t="n">
        <x:v>38239.29</x:v>
      </x:c>
      <x:c r="L153" t="n">
        <x:v>25492.86</x:v>
      </x:c>
      <x:c r="M153" t="str">
        <x:v>DATA_FUTURA</x:v>
      </x:c>
      <x:c r="N153" t="str">
        <x:v>SIMULADO</x:v>
      </x:c>
    </x:row>
    <x:row r="154">
      <x:c r="A154" t="str">
        <x:v>DIRIGIDA_EXCECAO</x:v>
      </x:c>
      <x:c r="B154" t="str">
        <x:v>ATV-0002523</x:v>
      </x:c>
      <x:c r="C154" t="str">
        <x:v>Obras em andamento</x:v>
      </x:c>
      <x:c r="D154" t="str">
        <x:v>Operação logística</x:v>
      </x:c>
      <x:c r="E154" t="str">
        <x:v>2021-02-22</x:v>
      </x:c>
      <x:c r="F154" t="str">
        <x:v>2026-01-15</x:v>
      </x:c>
      <x:c r="G154" t="str">
        <x:v>ATIVO</x:v>
      </x:c>
      <x:c r="H154" t="str">
        <x:v>RESP-023</x:v>
      </x:c>
      <x:c r="I154" t="str">
        <x:v>DOC-SIM-0002523</x:v>
      </x:c>
      <x:c r="J154" t="n">
        <x:v>28589.23</x:v>
      </x:c>
      <x:c r="K154" t="n">
        <x:v>0</x:v>
      </x:c>
      <x:c r="L154" t="n">
        <x:v>28589.23</x:v>
      </x:c>
      <x:c r="M154" t="str">
        <x:v>DATA_FUTURA</x:v>
      </x:c>
      <x:c r="N154" t="str">
        <x:v>SIMULADO</x:v>
      </x:c>
    </x:row>
    <x:row r="155">
      <x:c r="A155" t="str">
        <x:v>DIRIGIDA_EXCECAO</x:v>
      </x:c>
      <x:c r="B155" t="str">
        <x:v>ATV-0002524</x:v>
      </x:c>
      <x:c r="C155" t="str">
        <x:v>Veículos e equipamentos móveis</x:v>
      </x:c>
      <x:c r="D155" t="str">
        <x:v>Outras unidades</x:v>
      </x:c>
      <x:c r="E155" t="str">
        <x:v>2017-08-20</x:v>
      </x:c>
      <x:c r="F155" t="str">
        <x:v>2026-01-15</x:v>
      </x:c>
      <x:c r="G155" t="str">
        <x:v>ATIVO</x:v>
      </x:c>
      <x:c r="H155" t="str">
        <x:v>RESP-024</x:v>
      </x:c>
      <x:c r="I155" t="str">
        <x:v>DOC-SIM-0002524</x:v>
      </x:c>
      <x:c r="J155" t="n">
        <x:v>52816.59</x:v>
      </x:c>
      <x:c r="K155" t="n">
        <x:v>22635.68</x:v>
      </x:c>
      <x:c r="L155" t="n">
        <x:v>30180.91</x:v>
      </x:c>
      <x:c r="M155" t="str">
        <x:v>DATA_FUTURA</x:v>
      </x:c>
      <x:c r="N155" t="str">
        <x:v>SIMULADO</x:v>
      </x:c>
    </x:row>
    <x:row r="156">
      <x:c r="A156" t="str">
        <x:v>DIRIGIDA_EXCECAO</x:v>
      </x:c>
      <x:c r="B156" t="str">
        <x:v>ATV-0002525</x:v>
      </x:c>
      <x:c r="C156" t="str">
        <x:v>Edificações</x:v>
      </x:c>
      <x:c r="D156" t="str">
        <x:v>Congonhas/MG</x:v>
      </x:c>
      <x:c r="E156" t="str">
        <x:v>2018-04-21</x:v>
      </x:c>
      <x:c r="F156" t="str">
        <x:v>2026-01-15</x:v>
      </x:c>
      <x:c r="G156" t="str">
        <x:v>ATIVO</x:v>
      </x:c>
      <x:c r="H156" t="str">
        <x:v>RESP-025</x:v>
      </x:c>
      <x:c r="I156" t="str">
        <x:v>DOC-SIM-0002525</x:v>
      </x:c>
      <x:c r="J156" t="n">
        <x:v>12302.82</x:v>
      </x:c>
      <x:c r="K156" t="n">
        <x:v>7301.67</x:v>
      </x:c>
      <x:c r="L156" t="n">
        <x:v>5001.15</x:v>
      </x:c>
      <x:c r="M156" t="str">
        <x:v>DATA_FUTURA</x:v>
      </x:c>
      <x:c r="N156" t="str">
        <x:v>SIMULADO</x:v>
      </x:c>
    </x:row>
    <x:row r="157">
      <x:c r="A157" t="str">
        <x:v>DIRIGIDA_EXCECAO</x:v>
      </x:c>
      <x:c r="B157" t="str">
        <x:v>ATV-0002526</x:v>
      </x:c>
      <x:c r="C157" t="str">
        <x:v>Infraestrutura de mina</x:v>
      </x:c>
      <x:c r="D157" t="str">
        <x:v>Arcos/MG</x:v>
      </x:c>
      <x:c r="E157" t="str">
        <x:v>2024-02-28</x:v>
      </x:c>
      <x:c r="F157" t="str">
        <x:v>2026-01-15</x:v>
      </x:c>
      <x:c r="G157" t="str">
        <x:v>ATIVO</x:v>
      </x:c>
      <x:c r="H157" t="str">
        <x:v>RESP-026</x:v>
      </x:c>
      <x:c r="I157" t="str">
        <x:v>DOC-SIM-0002526</x:v>
      </x:c>
      <x:c r="J157" t="n">
        <x:v>42595.69</x:v>
      </x:c>
      <x:c r="K157" t="n">
        <x:v>23056.38</x:v>
      </x:c>
      <x:c r="L157" t="n">
        <x:v>19539.31</x:v>
      </x:c>
      <x:c r="M157" t="str">
        <x:v>DATA_FUTURA</x:v>
      </x:c>
      <x:c r="N157" t="str">
        <x:v>SIMULADO</x:v>
      </x:c>
    </x:row>
    <x:row r="158">
      <x:c r="A158" t="str">
        <x:v>DIRIGIDA_EXCECAO</x:v>
      </x:c>
      <x:c r="B158" t="str">
        <x:v>ATV-0002527</x:v>
      </x:c>
      <x:c r="C158" t="str">
        <x:v>Direito de uso</x:v>
      </x:c>
      <x:c r="D158" t="str">
        <x:v>Operação logística</x:v>
      </x:c>
      <x:c r="E158" t="str">
        <x:v>2022-06-28</x:v>
      </x:c>
      <x:c r="F158" t="str">
        <x:v>2026-01-15</x:v>
      </x:c>
      <x:c r="G158" t="str">
        <x:v>ATIVO</x:v>
      </x:c>
      <x:c r="H158" t="str">
        <x:v>RESP-027</x:v>
      </x:c>
      <x:c r="I158" t="str">
        <x:v>DOC-SIM-0002527</x:v>
      </x:c>
      <x:c r="J158" t="n">
        <x:v>50384.97</x:v>
      </x:c>
      <x:c r="K158" t="n">
        <x:v>15150.72</x:v>
      </x:c>
      <x:c r="L158" t="n">
        <x:v>35234.25</x:v>
      </x:c>
      <x:c r="M158" t="str">
        <x:v>DATA_FUTURA</x:v>
      </x:c>
      <x:c r="N158" t="str">
        <x:v>SIMULADO</x:v>
      </x:c>
    </x:row>
    <x:row r="159">
      <x:c r="A159" t="str">
        <x:v>DIRIGIDA_EXCECAO</x:v>
      </x:c>
      <x:c r="B159" t="str">
        <x:v>ATV-0002528</x:v>
      </x:c>
      <x:c r="C159" t="str">
        <x:v>Máquinas e equipamentos</x:v>
      </x:c>
      <x:c r="D159" t="str">
        <x:v>Outras unidades</x:v>
      </x:c>
      <x:c r="E159" t="str">
        <x:v>2012-06-06</x:v>
      </x:c>
      <x:c r="F159" t="str">
        <x:v>2026-01-15</x:v>
      </x:c>
      <x:c r="G159" t="str">
        <x:v>ATIVO</x:v>
      </x:c>
      <x:c r="H159" t="str">
        <x:v>RESP-028</x:v>
      </x:c>
      <x:c r="I159" t="str">
        <x:v>DOC-SIM-0002528</x:v>
      </x:c>
      <x:c r="J159" t="n">
        <x:v>81298.24</x:v>
      </x:c>
      <x:c r="K159" t="n">
        <x:v>46555.4</x:v>
      </x:c>
      <x:c r="L159" t="n">
        <x:v>34742.84</x:v>
      </x:c>
      <x:c r="M159" t="str">
        <x:v>DATA_FUTURA</x:v>
      </x:c>
      <x:c r="N159" t="str">
        <x:v>SIMULADO</x:v>
      </x:c>
    </x:row>
    <x:row r="160">
      <x:c r="A160" t="str">
        <x:v>DIRIGIDA_EXCECAO</x:v>
      </x:c>
      <x:c r="B160" t="str">
        <x:v>ATV-0002529</x:v>
      </x:c>
      <x:c r="C160" t="str">
        <x:v>Instalações industriais</x:v>
      </x:c>
      <x:c r="D160" t="str">
        <x:v>Congonhas/MG</x:v>
      </x:c>
      <x:c r="E160" t="str">
        <x:v>2021-08-24</x:v>
      </x:c>
      <x:c r="F160" t="str">
        <x:v>2026-01-15</x:v>
      </x:c>
      <x:c r="G160" t="str">
        <x:v>ATIVO</x:v>
      </x:c>
      <x:c r="H160" t="str">
        <x:v>RESP-029</x:v>
      </x:c>
      <x:c r="I160" t="str">
        <x:v>DOC-SIM-0002529</x:v>
      </x:c>
      <x:c r="J160" t="n">
        <x:v>49545.43</x:v>
      </x:c>
      <x:c r="K160" t="n">
        <x:v>14898.27</x:v>
      </x:c>
      <x:c r="L160" t="n">
        <x:v>34647.16</x:v>
      </x:c>
      <x:c r="M160" t="str">
        <x:v>DATA_FUTURA</x:v>
      </x:c>
      <x:c r="N160" t="str">
        <x:v>SIMULADO</x:v>
      </x:c>
    </x:row>
    <x:row r="161">
      <x:c r="A161" t="str">
        <x:v>DIRIGIDA_EXCECAO</x:v>
      </x:c>
      <x:c r="B161" t="str">
        <x:v>ATV-0002530</x:v>
      </x:c>
      <x:c r="C161" t="str">
        <x:v>Obras em andamento</x:v>
      </x:c>
      <x:c r="D161" t="str">
        <x:v>Arcos/MG</x:v>
      </x:c>
      <x:c r="E161" t="str">
        <x:v>2019-05-26</x:v>
      </x:c>
      <x:c r="F161" t="str">
        <x:v>2026-01-15</x:v>
      </x:c>
      <x:c r="G161" t="str">
        <x:v>ATIVO</x:v>
      </x:c>
      <x:c r="H161" t="str">
        <x:v>RESP-030</x:v>
      </x:c>
      <x:c r="I161" t="str">
        <x:v>DOC-SIM-0002530</x:v>
      </x:c>
      <x:c r="J161" t="n">
        <x:v>12002.78</x:v>
      </x:c>
      <x:c r="K161" t="n">
        <x:v>0</x:v>
      </x:c>
      <x:c r="L161" t="n">
        <x:v>12002.78</x:v>
      </x:c>
      <x:c r="M161" t="str">
        <x:v>DATA_FUTURA</x:v>
      </x:c>
      <x:c r="N161" t="str">
        <x:v>SIMULADO</x:v>
      </x:c>
    </x:row>
    <x:row r="162">
      <x:c r="A162" t="str">
        <x:v>DIRIGIDA_EXCECAO</x:v>
      </x:c>
      <x:c r="B162" t="str">
        <x:v>ATV-0002531</x:v>
      </x:c>
      <x:c r="C162" t="str">
        <x:v>Veículos e equipamentos móveis</x:v>
      </x:c>
      <x:c r="D162" t="str">
        <x:v>Operação logística</x:v>
      </x:c>
      <x:c r="E162" t="str">
        <x:v>2021-09-10</x:v>
      </x:c>
      <x:c r="F162" t="str">
        <x:v>2026-01-15</x:v>
      </x:c>
      <x:c r="G162" t="str">
        <x:v>ATIVO</x:v>
      </x:c>
      <x:c r="H162" t="str">
        <x:v>RESP-031</x:v>
      </x:c>
      <x:c r="I162" t="str">
        <x:v>DOC-SIM-0002531</x:v>
      </x:c>
      <x:c r="J162" t="n">
        <x:v>53883.36</x:v>
      </x:c>
      <x:c r="K162" t="n">
        <x:v>12434.62</x:v>
      </x:c>
      <x:c r="L162" t="n">
        <x:v>41448.74</x:v>
      </x:c>
      <x:c r="M162" t="str">
        <x:v>DATA_FUTURA</x:v>
      </x:c>
      <x:c r="N162" t="str">
        <x:v>SIMULADO</x:v>
      </x:c>
    </x:row>
    <x:row r="163">
      <x:c r="A163" t="str">
        <x:v>DIRIGIDA_EXCECAO</x:v>
      </x:c>
      <x:c r="B163" t="str">
        <x:v>ATV-0002532</x:v>
      </x:c>
      <x:c r="C163" t="str">
        <x:v>Edificações</x:v>
      </x:c>
      <x:c r="D163" t="str">
        <x:v>Outras unidades</x:v>
      </x:c>
      <x:c r="E163" t="str">
        <x:v>2015-03-20</x:v>
      </x:c>
      <x:c r="F163" t="str">
        <x:v>2026-01-15</x:v>
      </x:c>
      <x:c r="G163" t="str">
        <x:v>ATIVO</x:v>
      </x:c>
      <x:c r="H163" t="str">
        <x:v>RESP-032</x:v>
      </x:c>
      <x:c r="I163" t="str">
        <x:v>DOC-SIM-0002532</x:v>
      </x:c>
      <x:c r="J163" t="n">
        <x:v>40672.42</x:v>
      </x:c>
      <x:c r="K163" t="n">
        <x:v>24968.78</x:v>
      </x:c>
      <x:c r="L163" t="n">
        <x:v>15703.64</x:v>
      </x:c>
      <x:c r="M163" t="str">
        <x:v>DATA_FUTURA</x:v>
      </x:c>
      <x:c r="N163" t="str">
        <x:v>SIMULADO</x:v>
      </x:c>
    </x:row>
    <x:row r="164">
      <x:c r="A164" t="str">
        <x:v>DIRIGIDA_EXCECAO</x:v>
      </x:c>
      <x:c r="B164" t="str">
        <x:v>ATV-0002533</x:v>
      </x:c>
      <x:c r="C164" t="str">
        <x:v>Infraestrutura de mina</x:v>
      </x:c>
      <x:c r="D164" t="str">
        <x:v>Congonhas/MG</x:v>
      </x:c>
      <x:c r="E164" t="str">
        <x:v>2021-01-23</x:v>
      </x:c>
      <x:c r="F164" t="str">
        <x:v>2026-01-15</x:v>
      </x:c>
      <x:c r="G164" t="str">
        <x:v>ATIVO</x:v>
      </x:c>
      <x:c r="H164" t="str">
        <x:v>RESP-033</x:v>
      </x:c>
      <x:c r="I164" t="str">
        <x:v>DOC-SIM-0002533</x:v>
      </x:c>
      <x:c r="J164" t="n">
        <x:v>47217.88</x:v>
      </x:c>
      <x:c r="K164" t="n">
        <x:v>27543.76</x:v>
      </x:c>
      <x:c r="L164" t="n">
        <x:v>19674.12</x:v>
      </x:c>
      <x:c r="M164" t="str">
        <x:v>DATA_FUTURA</x:v>
      </x:c>
      <x:c r="N164" t="str">
        <x:v>SIMULADO</x:v>
      </x:c>
    </x:row>
    <x:row r="165">
      <x:c r="A165" t="str">
        <x:v>DIRIGIDA_EXCECAO</x:v>
      </x:c>
      <x:c r="B165" t="str">
        <x:v>ATV-0002534</x:v>
      </x:c>
      <x:c r="C165" t="str">
        <x:v>Direito de uso</x:v>
      </x:c>
      <x:c r="D165" t="str">
        <x:v>Arcos/MG</x:v>
      </x:c>
      <x:c r="E165" t="str">
        <x:v>2024-08-04</x:v>
      </x:c>
      <x:c r="F165" t="str">
        <x:v>2026-01-15</x:v>
      </x:c>
      <x:c r="G165" t="str">
        <x:v>ATIVO</x:v>
      </x:c>
      <x:c r="H165" t="str">
        <x:v>RESP-034</x:v>
      </x:c>
      <x:c r="I165" t="str">
        <x:v>DOC-SIM-0002534</x:v>
      </x:c>
      <x:c r="J165" t="n">
        <x:v>12358.15</x:v>
      </x:c>
      <x:c r="K165" t="n">
        <x:v>7165.65</x:v>
      </x:c>
      <x:c r="L165" t="n">
        <x:v>5192.5</x:v>
      </x:c>
      <x:c r="M165" t="str">
        <x:v>DATA_FUTURA</x:v>
      </x:c>
      <x:c r="N165" t="str">
        <x:v>SIMULADO</x:v>
      </x:c>
    </x:row>
    <x:row r="166">
      <x:c r="A166" t="str">
        <x:v>DIRIGIDA_EXCECAO</x:v>
      </x:c>
      <x:c r="B166" t="str">
        <x:v>ATV-0002535</x:v>
      </x:c>
      <x:c r="C166" t="str">
        <x:v>Máquinas e equipamentos</x:v>
      </x:c>
      <x:c r="D166" t="str">
        <x:v>Operação logística</x:v>
      </x:c>
      <x:c r="E166" t="str">
        <x:v>2025-09-07</x:v>
      </x:c>
      <x:c r="F166" t="str">
        <x:v>2026-01-15</x:v>
      </x:c>
      <x:c r="G166" t="str">
        <x:v>ATIVO</x:v>
      </x:c>
      <x:c r="H166" t="str">
        <x:v>RESP-035</x:v>
      </x:c>
      <x:c r="I166" t="str">
        <x:v>DOC-SIM-0002535</x:v>
      </x:c>
      <x:c r="J166" t="n">
        <x:v>97022.48</x:v>
      </x:c>
      <x:c r="K166" t="n">
        <x:v>54838.79</x:v>
      </x:c>
      <x:c r="L166" t="n">
        <x:v>42183.69</x:v>
      </x:c>
      <x:c r="M166" t="str">
        <x:v>DATA_FUTURA</x:v>
      </x:c>
      <x:c r="N166" t="str">
        <x:v>SIMULADO</x:v>
      </x:c>
    </x:row>
    <x:row r="167">
      <x:c r="A167" t="str">
        <x:v>DIRIGIDA_EXCECAO</x:v>
      </x:c>
      <x:c r="B167" t="str">
        <x:v>ATV-0002536</x:v>
      </x:c>
      <x:c r="C167" t="str">
        <x:v>Instalações industriais</x:v>
      </x:c>
      <x:c r="D167" t="str">
        <x:v>Outras unidades</x:v>
      </x:c>
      <x:c r="E167" t="str">
        <x:v>2017-10-20</x:v>
      </x:c>
      <x:c r="F167" t="str">
        <x:v>2026-01-15</x:v>
      </x:c>
      <x:c r="G167" t="str">
        <x:v>ATIVO</x:v>
      </x:c>
      <x:c r="H167" t="str">
        <x:v>RESP-036</x:v>
      </x:c>
      <x:c r="I167" t="str">
        <x:v>DOC-SIM-0002536</x:v>
      </x:c>
      <x:c r="J167" t="n">
        <x:v>61160.69</x:v>
      </x:c>
      <x:c r="K167" t="n">
        <x:v>27370.25</x:v>
      </x:c>
      <x:c r="L167" t="n">
        <x:v>33790.44</x:v>
      </x:c>
      <x:c r="M167" t="str">
        <x:v>DATA_FUTURA</x:v>
      </x:c>
      <x:c r="N167" t="str">
        <x:v>SIMULADO</x:v>
      </x:c>
    </x:row>
    <x:row r="168">
      <x:c r="A168" t="str">
        <x:v>DIRIGIDA_EXCECAO</x:v>
      </x:c>
      <x:c r="B168" t="str">
        <x:v>ATV-0002537</x:v>
      </x:c>
      <x:c r="C168" t="str">
        <x:v>Obras em andamento</x:v>
      </x:c>
      <x:c r="D168" t="str">
        <x:v>Congonhas/MG</x:v>
      </x:c>
      <x:c r="E168" t="str">
        <x:v>2013-12-24</x:v>
      </x:c>
      <x:c r="F168" t="str">
        <x:v>2026-01-15</x:v>
      </x:c>
      <x:c r="G168" t="str">
        <x:v>ATIVO</x:v>
      </x:c>
      <x:c r="H168" t="str">
        <x:v>RESP-037</x:v>
      </x:c>
      <x:c r="I168" t="str">
        <x:v>DOC-SIM-0002537</x:v>
      </x:c>
      <x:c r="J168" t="n">
        <x:v>6227.53</x:v>
      </x:c>
      <x:c r="K168" t="n">
        <x:v>0</x:v>
      </x:c>
      <x:c r="L168" t="n">
        <x:v>6227.53</x:v>
      </x:c>
      <x:c r="M168" t="str">
        <x:v>DATA_FUTURA</x:v>
      </x:c>
      <x:c r="N168" t="str">
        <x:v>SIMULADO</x:v>
      </x:c>
    </x:row>
    <x:row r="169">
      <x:c r="A169" t="str">
        <x:v>DIRIGIDA_EXCECAO</x:v>
      </x:c>
      <x:c r="B169" t="str">
        <x:v>ATV-0002538</x:v>
      </x:c>
      <x:c r="C169" t="str">
        <x:v>Veículos e equipamentos móveis</x:v>
      </x:c>
      <x:c r="D169" t="str">
        <x:v>Arcos/MG</x:v>
      </x:c>
      <x:c r="E169" t="str">
        <x:v>2025-06-10</x:v>
      </x:c>
      <x:c r="F169" t="str">
        <x:v>2026-01-15</x:v>
      </x:c>
      <x:c r="G169" t="str">
        <x:v>ATIVO</x:v>
      </x:c>
      <x:c r="H169" t="str">
        <x:v>RESP-038</x:v>
      </x:c>
      <x:c r="I169" t="str">
        <x:v>DOC-SIM-0002538</x:v>
      </x:c>
      <x:c r="J169" t="n">
        <x:v>41446.12</x:v>
      </x:c>
      <x:c r="K169" t="n">
        <x:v>5089.87</x:v>
      </x:c>
      <x:c r="L169" t="n">
        <x:v>36356.25</x:v>
      </x:c>
      <x:c r="M169" t="str">
        <x:v>DATA_FUTURA</x:v>
      </x:c>
      <x:c r="N169" t="str">
        <x:v>SIMULADO</x:v>
      </x:c>
    </x:row>
    <x:row r="170">
      <x:c r="A170" t="str">
        <x:v>DIRIGIDA_EXCECAO</x:v>
      </x:c>
      <x:c r="B170" t="str">
        <x:v>ATV-0002539</x:v>
      </x:c>
      <x:c r="C170" t="str">
        <x:v>Edificações</x:v>
      </x:c>
      <x:c r="D170" t="str">
        <x:v>Operação logística</x:v>
      </x:c>
      <x:c r="E170" t="str">
        <x:v>2013-03-31</x:v>
      </x:c>
      <x:c r="F170" t="str">
        <x:v>2026-01-15</x:v>
      </x:c>
      <x:c r="G170" t="str">
        <x:v>ATIVO</x:v>
      </x:c>
      <x:c r="H170" t="str">
        <x:v>RESP-039</x:v>
      </x:c>
      <x:c r="I170" t="str">
        <x:v>DOC-SIM-0002539</x:v>
      </x:c>
      <x:c r="J170" t="n">
        <x:v>96536.85</x:v>
      </x:c>
      <x:c r="K170" t="n">
        <x:v>54009.6</x:v>
      </x:c>
      <x:c r="L170" t="n">
        <x:v>42527.25</x:v>
      </x:c>
      <x:c r="M170" t="str">
        <x:v>DATA_FUTURA</x:v>
      </x:c>
      <x:c r="N170" t="str">
        <x:v>SIMULADO</x:v>
      </x:c>
    </x:row>
    <x:row r="171">
      <x:c r="A171" t="str">
        <x:v>DIRIGIDA_EXCECAO</x:v>
      </x:c>
      <x:c r="B171" t="str">
        <x:v>ATV-0002540</x:v>
      </x:c>
      <x:c r="C171" t="str">
        <x:v>Infraestrutura de mina</x:v>
      </x:c>
      <x:c r="D171" t="str">
        <x:v>Outras unidades</x:v>
      </x:c>
      <x:c r="E171" t="str">
        <x:v>2024-05-03</x:v>
      </x:c>
      <x:c r="F171" t="str">
        <x:v>2026-01-15</x:v>
      </x:c>
      <x:c r="G171" t="str">
        <x:v>ATIVO</x:v>
      </x:c>
      <x:c r="H171" t="str">
        <x:v>RESP-040</x:v>
      </x:c>
      <x:c r="I171" t="str">
        <x:v>DOC-SIM-0002540</x:v>
      </x:c>
      <x:c r="J171" t="n">
        <x:v>6438.7</x:v>
      </x:c>
      <x:c r="K171" t="n">
        <x:v>2977.03</x:v>
      </x:c>
      <x:c r="L171" t="n">
        <x:v>3461.67</x:v>
      </x:c>
      <x:c r="M171" t="str">
        <x:v>DATA_FUTURA</x:v>
      </x:c>
      <x:c r="N171" t="str">
        <x:v>SIMULADO</x:v>
      </x:c>
    </x:row>
    <x:row r="172">
      <x:c r="A172" t="str">
        <x:v>DIRIGIDA_EXCECAO</x:v>
      </x:c>
      <x:c r="B172" t="str">
        <x:v>ATV-0002541</x:v>
      </x:c>
      <x:c r="C172" t="str">
        <x:v>Direito de uso</x:v>
      </x:c>
      <x:c r="D172" t="str">
        <x:v>Congonhas/MG</x:v>
      </x:c>
      <x:c r="E172" t="str">
        <x:v>2019-05-15</x:v>
      </x:c>
      <x:c r="F172" t="str">
        <x:v>2026-01-15</x:v>
      </x:c>
      <x:c r="G172" t="str">
        <x:v>ATIVO</x:v>
      </x:c>
      <x:c r="H172" t="str">
        <x:v>RESP-041</x:v>
      </x:c>
      <x:c r="I172" t="str">
        <x:v>DOC-SIM-0002541</x:v>
      </x:c>
      <x:c r="J172" t="n">
        <x:v>68333.41</x:v>
      </x:c>
      <x:c r="K172" t="n">
        <x:v>31985.85</x:v>
      </x:c>
      <x:c r="L172" t="n">
        <x:v>36347.56</x:v>
      </x:c>
      <x:c r="M172" t="str">
        <x:v>DATA_FUTURA</x:v>
      </x:c>
      <x:c r="N172" t="str">
        <x:v>SIMULADO</x:v>
      </x:c>
    </x:row>
    <x:row r="173">
      <x:c r="A173" t="str">
        <x:v>DIRIGIDA_EXCECAO</x:v>
      </x:c>
      <x:c r="B173" t="str">
        <x:v>ATV-0002542</x:v>
      </x:c>
      <x:c r="C173" t="str">
        <x:v>Máquinas e equipamentos</x:v>
      </x:c>
      <x:c r="D173" t="str">
        <x:v>Arcos/MG</x:v>
      </x:c>
      <x:c r="E173" t="str">
        <x:v>2014-09-23</x:v>
      </x:c>
      <x:c r="F173" t="str">
        <x:v>2026-01-15</x:v>
      </x:c>
      <x:c r="G173" t="str">
        <x:v>ATIVO</x:v>
      </x:c>
      <x:c r="H173" t="str">
        <x:v>RESP-042</x:v>
      </x:c>
      <x:c r="I173" t="str">
        <x:v>DOC-SIM-0002542</x:v>
      </x:c>
      <x:c r="J173" t="n">
        <x:v>66043.61</x:v>
      </x:c>
      <x:c r="K173" t="n">
        <x:v>39520.07</x:v>
      </x:c>
      <x:c r="L173" t="n">
        <x:v>26523.54</x:v>
      </x:c>
      <x:c r="M173" t="str">
        <x:v>DATA_FUTURA</x:v>
      </x:c>
      <x:c r="N173" t="str">
        <x:v>SIMULADO</x:v>
      </x:c>
    </x:row>
    <x:row r="174">
      <x:c r="A174" t="str">
        <x:v>DIRIGIDA_EXCECAO</x:v>
      </x:c>
      <x:c r="B174" t="str">
        <x:v>ATV-0002543</x:v>
      </x:c>
      <x:c r="C174" t="str">
        <x:v>Instalações industriais</x:v>
      </x:c>
      <x:c r="D174" t="str">
        <x:v>Operação logística</x:v>
      </x:c>
      <x:c r="E174" t="str">
        <x:v>2020-12-16</x:v>
      </x:c>
      <x:c r="F174" t="str">
        <x:v>2026-01-15</x:v>
      </x:c>
      <x:c r="G174" t="str">
        <x:v>ATIVO</x:v>
      </x:c>
      <x:c r="H174" t="str">
        <x:v>RESP-043</x:v>
      </x:c>
      <x:c r="I174" t="str">
        <x:v>DOC-SIM-0002543</x:v>
      </x:c>
      <x:c r="J174" t="n">
        <x:v>25683.77</x:v>
      </x:c>
      <x:c r="K174" t="n">
        <x:v>7723.09</x:v>
      </x:c>
      <x:c r="L174" t="n">
        <x:v>17960.68</x:v>
      </x:c>
      <x:c r="M174" t="str">
        <x:v>DATA_FUTURA</x:v>
      </x:c>
      <x:c r="N174" t="str">
        <x:v>SIMULADO</x:v>
      </x:c>
    </x:row>
    <x:row r="175">
      <x:c r="A175" t="str">
        <x:v>DIRIGIDA_EXCECAO</x:v>
      </x:c>
      <x:c r="B175" t="str">
        <x:v>ATV-0002544</x:v>
      </x:c>
      <x:c r="C175" t="str">
        <x:v>Obras em andamento</x:v>
      </x:c>
      <x:c r="D175" t="str">
        <x:v>Outras unidades</x:v>
      </x:c>
      <x:c r="E175" t="str">
        <x:v>2014-05-24</x:v>
      </x:c>
      <x:c r="F175" t="str">
        <x:v>2026-01-15</x:v>
      </x:c>
      <x:c r="G175" t="str">
        <x:v>ATIVO</x:v>
      </x:c>
      <x:c r="H175" t="str">
        <x:v>RESP-044</x:v>
      </x:c>
      <x:c r="I175" t="str">
        <x:v>DOC-SIM-0002544</x:v>
      </x:c>
      <x:c r="J175" t="n">
        <x:v>38708.97</x:v>
      </x:c>
      <x:c r="K175" t="n">
        <x:v>0</x:v>
      </x:c>
      <x:c r="L175" t="n">
        <x:v>38708.97</x:v>
      </x:c>
      <x:c r="M175" t="str">
        <x:v>DATA_FUTURA</x:v>
      </x:c>
      <x:c r="N175" t="str">
        <x:v>SIMULADO</x:v>
      </x:c>
    </x:row>
    <x:row r="176">
      <x:c r="A176" t="str">
        <x:v>DIRIGIDA_EXCECAO</x:v>
      </x:c>
      <x:c r="B176" t="str">
        <x:v>ATV-0002545</x:v>
      </x:c>
      <x:c r="C176" t="str">
        <x:v>Veículos e equipamentos móveis</x:v>
      </x:c>
      <x:c r="D176" t="str">
        <x:v>Congonhas/MG</x:v>
      </x:c>
      <x:c r="E176" t="str">
        <x:v>2018-12-30</x:v>
      </x:c>
      <x:c r="F176" t="str">
        <x:v>2026-01-15</x:v>
      </x:c>
      <x:c r="G176" t="str">
        <x:v>ATIVO</x:v>
      </x:c>
      <x:c r="H176" t="str">
        <x:v>RESP-045</x:v>
      </x:c>
      <x:c r="I176" t="str">
        <x:v>DOC-SIM-0002545</x:v>
      </x:c>
      <x:c r="J176" t="n">
        <x:v>14015.58</x:v>
      </x:c>
      <x:c r="K176" t="n">
        <x:v>8431.68</x:v>
      </x:c>
      <x:c r="L176" t="n">
        <x:v>5583.9</x:v>
      </x:c>
      <x:c r="M176" t="str">
        <x:v>DATA_FUTURA</x:v>
      </x:c>
      <x:c r="N176" t="str">
        <x:v>SIMULADO</x:v>
      </x:c>
    </x:row>
    <x:row r="177">
      <x:c r="A177" t="str">
        <x:v>DIRIGIDA_EXCECAO</x:v>
      </x:c>
      <x:c r="B177" t="str">
        <x:v>ATV-0003501</x:v>
      </x:c>
      <x:c r="C177" t="str">
        <x:v>Máquinas e equipamentos</x:v>
      </x:c>
      <x:c r="D177" t="str">
        <x:v>Congonhas/MG</x:v>
      </x:c>
      <x:c r="E177" t="str">
        <x:v>2020-03-31</x:v>
      </x:c>
      <x:c r="F177" t="str">
        <x:v>2020-09-02</x:v>
      </x:c>
      <x:c r="G177" t="str">
        <x:v>ATIVO</x:v>
      </x:c>
      <x:c r="H177" t="str"/>
      <x:c r="I177" t="str">
        <x:v>DOC-SIM-0003501</x:v>
      </x:c>
      <x:c r="J177" t="n">
        <x:v>19228.09</x:v>
      </x:c>
      <x:c r="K177" t="n">
        <x:v>7503.64</x:v>
      </x:c>
      <x:c r="L177" t="n">
        <x:v>11724.45</x:v>
      </x:c>
      <x:c r="M177" t="str">
        <x:v>SEM_RESPONSAVEL</x:v>
      </x:c>
      <x:c r="N177" t="str">
        <x:v>SIMULADO</x:v>
      </x:c>
    </x:row>
    <x:row r="178">
      <x:c r="A178" t="str">
        <x:v>DIRIGIDA_EXCECAO</x:v>
      </x:c>
      <x:c r="B178" t="str">
        <x:v>ATV-0003502</x:v>
      </x:c>
      <x:c r="C178" t="str">
        <x:v>Instalações industriais</x:v>
      </x:c>
      <x:c r="D178" t="str">
        <x:v>Arcos/MG</x:v>
      </x:c>
      <x:c r="E178" t="str">
        <x:v>2021-11-26</x:v>
      </x:c>
      <x:c r="F178" t="str">
        <x:v>2022-04-08</x:v>
      </x:c>
      <x:c r="G178" t="str">
        <x:v>ATIVO</x:v>
      </x:c>
      <x:c r="H178" t="str"/>
      <x:c r="I178" t="str">
        <x:v>DOC-SIM-0003502</x:v>
      </x:c>
      <x:c r="J178" t="n">
        <x:v>27064.18</x:v>
      </x:c>
      <x:c r="K178" t="n">
        <x:v>4128.43</x:v>
      </x:c>
      <x:c r="L178" t="n">
        <x:v>22935.75</x:v>
      </x:c>
      <x:c r="M178" t="str">
        <x:v>SEM_RESPONSAVEL</x:v>
      </x:c>
      <x:c r="N178" t="str">
        <x:v>SIMULADO</x:v>
      </x:c>
    </x:row>
    <x:row r="179">
      <x:c r="A179" t="str">
        <x:v>DIRIGIDA_EXCECAO</x:v>
      </x:c>
      <x:c r="B179" t="str">
        <x:v>ATV-0003503</x:v>
      </x:c>
      <x:c r="C179" t="str">
        <x:v>Obras em andamento</x:v>
      </x:c>
      <x:c r="D179" t="str">
        <x:v>Operação logística</x:v>
      </x:c>
      <x:c r="E179" t="str">
        <x:v>2024-06-18</x:v>
      </x:c>
      <x:c r="F179" t="str">
        <x:v>2024-08-05</x:v>
      </x:c>
      <x:c r="G179" t="str">
        <x:v>ATIVO</x:v>
      </x:c>
      <x:c r="H179" t="str"/>
      <x:c r="I179" t="str">
        <x:v>DOC-SIM-0003503</x:v>
      </x:c>
      <x:c r="J179" t="n">
        <x:v>22561.75</x:v>
      </x:c>
      <x:c r="K179" t="n">
        <x:v>0</x:v>
      </x:c>
      <x:c r="L179" t="n">
        <x:v>22561.75</x:v>
      </x:c>
      <x:c r="M179" t="str">
        <x:v>SEM_RESPONSAVEL</x:v>
      </x:c>
      <x:c r="N179" t="str">
        <x:v>SIMULADO</x:v>
      </x:c>
    </x:row>
    <x:row r="180">
      <x:c r="A180" t="str">
        <x:v>DIRIGIDA_EXCECAO</x:v>
      </x:c>
      <x:c r="B180" t="str">
        <x:v>ATV-0003504</x:v>
      </x:c>
      <x:c r="C180" t="str">
        <x:v>Veículos e equipamentos móveis</x:v>
      </x:c>
      <x:c r="D180" t="str">
        <x:v>Outras unidades</x:v>
      </x:c>
      <x:c r="E180" t="str">
        <x:v>2020-09-07</x:v>
      </x:c>
      <x:c r="F180" t="str">
        <x:v>2021-02-14</x:v>
      </x:c>
      <x:c r="G180" t="str">
        <x:v>ATIVO</x:v>
      </x:c>
      <x:c r="H180" t="str"/>
      <x:c r="I180" t="str">
        <x:v>DOC-SIM-0003504</x:v>
      </x:c>
      <x:c r="J180" t="n">
        <x:v>88933.99</x:v>
      </x:c>
      <x:c r="K180" t="n">
        <x:v>47950.58</x:v>
      </x:c>
      <x:c r="L180" t="n">
        <x:v>40983.41</x:v>
      </x:c>
      <x:c r="M180" t="str">
        <x:v>SEM_RESPONSAVEL</x:v>
      </x:c>
      <x:c r="N180" t="str">
        <x:v>SIMULADO</x:v>
      </x:c>
    </x:row>
    <x:row r="181">
      <x:c r="A181" t="str">
        <x:v>DIRIGIDA_EXCECAO</x:v>
      </x:c>
      <x:c r="B181" t="str">
        <x:v>ATV-0003505</x:v>
      </x:c>
      <x:c r="C181" t="str">
        <x:v>Edificações</x:v>
      </x:c>
      <x:c r="D181" t="str">
        <x:v>Congonhas/MG</x:v>
      </x:c>
      <x:c r="E181" t="str">
        <x:v>2018-11-28</x:v>
      </x:c>
      <x:c r="F181" t="str">
        <x:v>2019-03-03</x:v>
      </x:c>
      <x:c r="G181" t="str">
        <x:v>ATIVO</x:v>
      </x:c>
      <x:c r="H181" t="str"/>
      <x:c r="I181" t="str">
        <x:v>DOC-SIM-0003505</x:v>
      </x:c>
      <x:c r="J181" t="n">
        <x:v>46524.86</x:v>
      </x:c>
      <x:c r="K181" t="n">
        <x:v>18831.49</x:v>
      </x:c>
      <x:c r="L181" t="n">
        <x:v>27693.37</x:v>
      </x:c>
      <x:c r="M181" t="str">
        <x:v>SEM_RESPONSAVEL</x:v>
      </x:c>
      <x:c r="N181" t="str">
        <x:v>SIMULADO</x:v>
      </x:c>
    </x:row>
    <x:row r="182">
      <x:c r="A182" t="str">
        <x:v>DIRIGIDA_EXCECAO</x:v>
      </x:c>
      <x:c r="B182" t="str">
        <x:v>ATV-0003506</x:v>
      </x:c>
      <x:c r="C182" t="str">
        <x:v>Infraestrutura de mina</x:v>
      </x:c>
      <x:c r="D182" t="str">
        <x:v>Arcos/MG</x:v>
      </x:c>
      <x:c r="E182" t="str">
        <x:v>2019-02-16</x:v>
      </x:c>
      <x:c r="F182" t="str">
        <x:v>2019-05-15</x:v>
      </x:c>
      <x:c r="G182" t="str">
        <x:v>ATIVO</x:v>
      </x:c>
      <x:c r="H182" t="str"/>
      <x:c r="I182" t="str">
        <x:v>DOC-SIM-0003506</x:v>
      </x:c>
      <x:c r="J182" t="n">
        <x:v>46755.4</x:v>
      </x:c>
      <x:c r="K182" t="n">
        <x:v>21206</x:v>
      </x:c>
      <x:c r="L182" t="n">
        <x:v>25549.4</x:v>
      </x:c>
      <x:c r="M182" t="str">
        <x:v>SEM_RESPONSAVEL</x:v>
      </x:c>
      <x:c r="N182" t="str">
        <x:v>SIMULADO</x:v>
      </x:c>
    </x:row>
    <x:row r="183">
      <x:c r="A183" t="str">
        <x:v>DIRIGIDA_EXCECAO</x:v>
      </x:c>
      <x:c r="B183" t="str">
        <x:v>ATV-0003507</x:v>
      </x:c>
      <x:c r="C183" t="str">
        <x:v>Direito de uso</x:v>
      </x:c>
      <x:c r="D183" t="str">
        <x:v>Operação logística</x:v>
      </x:c>
      <x:c r="E183" t="str">
        <x:v>2018-07-14</x:v>
      </x:c>
      <x:c r="F183" t="str">
        <x:v>2018-12-10</x:v>
      </x:c>
      <x:c r="G183" t="str">
        <x:v>ATIVO</x:v>
      </x:c>
      <x:c r="H183" t="str"/>
      <x:c r="I183" t="str">
        <x:v>DOC-SIM-0003507</x:v>
      </x:c>
      <x:c r="J183" t="n">
        <x:v>79231.83</x:v>
      </x:c>
      <x:c r="K183" t="n">
        <x:v>43701.86</x:v>
      </x:c>
      <x:c r="L183" t="n">
        <x:v>35529.97</x:v>
      </x:c>
      <x:c r="M183" t="str">
        <x:v>SEM_RESPONSAVEL</x:v>
      </x:c>
      <x:c r="N183" t="str">
        <x:v>SIMULADO</x:v>
      </x:c>
    </x:row>
    <x:row r="184">
      <x:c r="A184" t="str">
        <x:v>DIRIGIDA_EXCECAO</x:v>
      </x:c>
      <x:c r="B184" t="str">
        <x:v>ATV-0003508</x:v>
      </x:c>
      <x:c r="C184" t="str">
        <x:v>Máquinas e equipamentos</x:v>
      </x:c>
      <x:c r="D184" t="str">
        <x:v>Outras unidades</x:v>
      </x:c>
      <x:c r="E184" t="str">
        <x:v>2025-05-08</x:v>
      </x:c>
      <x:c r="F184" t="str">
        <x:v>2025-09-16</x:v>
      </x:c>
      <x:c r="G184" t="str">
        <x:v>ATIVO</x:v>
      </x:c>
      <x:c r="H184" t="str"/>
      <x:c r="I184" t="str">
        <x:v>DOC-SIM-0003508</x:v>
      </x:c>
      <x:c r="J184" t="n">
        <x:v>36800.36</x:v>
      </x:c>
      <x:c r="K184" t="n">
        <x:v>16126</x:v>
      </x:c>
      <x:c r="L184" t="n">
        <x:v>20674.36</x:v>
      </x:c>
      <x:c r="M184" t="str">
        <x:v>SEM_RESPONSAVEL</x:v>
      </x:c>
      <x:c r="N184" t="str">
        <x:v>SIMULADO</x:v>
      </x:c>
    </x:row>
    <x:row r="185">
      <x:c r="A185" t="str">
        <x:v>DIRIGIDA_EXCECAO</x:v>
      </x:c>
      <x:c r="B185" t="str">
        <x:v>ATV-0003509</x:v>
      </x:c>
      <x:c r="C185" t="str">
        <x:v>Instalações industriais</x:v>
      </x:c>
      <x:c r="D185" t="str">
        <x:v>Congonhas/MG</x:v>
      </x:c>
      <x:c r="E185" t="str">
        <x:v>2025-07-02</x:v>
      </x:c>
      <x:c r="F185" t="str">
        <x:v>2025-11-21</x:v>
      </x:c>
      <x:c r="G185" t="str">
        <x:v>ATIVO</x:v>
      </x:c>
      <x:c r="H185" t="str"/>
      <x:c r="I185" t="str">
        <x:v>DOC-SIM-0003509</x:v>
      </x:c>
      <x:c r="J185" t="n">
        <x:v>35949.63</x:v>
      </x:c>
      <x:c r="K185" t="n">
        <x:v>3268.14</x:v>
      </x:c>
      <x:c r="L185" t="n">
        <x:v>32681.49</x:v>
      </x:c>
      <x:c r="M185" t="str">
        <x:v>SEM_RESPONSAVEL</x:v>
      </x:c>
      <x:c r="N185" t="str">
        <x:v>SIMULADO</x:v>
      </x:c>
    </x:row>
    <x:row r="186">
      <x:c r="A186" t="str">
        <x:v>DIRIGIDA_EXCECAO</x:v>
      </x:c>
      <x:c r="B186" t="str">
        <x:v>ATV-0003510</x:v>
      </x:c>
      <x:c r="C186" t="str">
        <x:v>Obras em andamento</x:v>
      </x:c>
      <x:c r="D186" t="str">
        <x:v>Arcos/MG</x:v>
      </x:c>
      <x:c r="E186" t="str">
        <x:v>2016-05-07</x:v>
      </x:c>
      <x:c r="F186" t="str">
        <x:v>2016-06-03</x:v>
      </x:c>
      <x:c r="G186" t="str">
        <x:v>ATIVO</x:v>
      </x:c>
      <x:c r="H186" t="str"/>
      <x:c r="I186" t="str">
        <x:v>DOC-SIM-0003510</x:v>
      </x:c>
      <x:c r="J186" t="n">
        <x:v>27945.61</x:v>
      </x:c>
      <x:c r="K186" t="n">
        <x:v>0</x:v>
      </x:c>
      <x:c r="L186" t="n">
        <x:v>27945.61</x:v>
      </x:c>
      <x:c r="M186" t="str">
        <x:v>SEM_RESPONSAVEL</x:v>
      </x:c>
      <x:c r="N186" t="str">
        <x:v>SIMULADO</x:v>
      </x:c>
    </x:row>
    <x:row r="187">
      <x:c r="A187" t="str">
        <x:v>DIRIGIDA_EXCECAO</x:v>
      </x:c>
      <x:c r="B187" t="str">
        <x:v>ATV-0003511</x:v>
      </x:c>
      <x:c r="C187" t="str">
        <x:v>Veículos e equipamentos móveis</x:v>
      </x:c>
      <x:c r="D187" t="str">
        <x:v>Operação logística</x:v>
      </x:c>
      <x:c r="E187" t="str">
        <x:v>2021-07-05</x:v>
      </x:c>
      <x:c r="F187" t="str">
        <x:v>2021-11-03</x:v>
      </x:c>
      <x:c r="G187" t="str">
        <x:v>ATIVO</x:v>
      </x:c>
      <x:c r="H187" t="str"/>
      <x:c r="I187" t="str">
        <x:v>DOC-SIM-0003511</x:v>
      </x:c>
      <x:c r="J187" t="n">
        <x:v>19885.12</x:v>
      </x:c>
      <x:c r="K187" t="n">
        <x:v>7299.6</x:v>
      </x:c>
      <x:c r="L187" t="n">
        <x:v>12585.52</x:v>
      </x:c>
      <x:c r="M187" t="str">
        <x:v>SEM_RESPONSAVEL</x:v>
      </x:c>
      <x:c r="N187" t="str">
        <x:v>SIMULADO</x:v>
      </x:c>
    </x:row>
    <x:row r="188">
      <x:c r="A188" t="str">
        <x:v>DIRIGIDA_EXCECAO</x:v>
      </x:c>
      <x:c r="B188" t="str">
        <x:v>ATV-0003512</x:v>
      </x:c>
      <x:c r="C188" t="str">
        <x:v>Edificações</x:v>
      </x:c>
      <x:c r="D188" t="str">
        <x:v>Outras unidades</x:v>
      </x:c>
      <x:c r="E188" t="str">
        <x:v>2012-05-03</x:v>
      </x:c>
      <x:c r="F188" t="str">
        <x:v>2012-10-30</x:v>
      </x:c>
      <x:c r="G188" t="str">
        <x:v>ATIVO</x:v>
      </x:c>
      <x:c r="H188" t="str"/>
      <x:c r="I188" t="str">
        <x:v>DOC-SIM-0003512</x:v>
      </x:c>
      <x:c r="J188" t="n">
        <x:v>18860.53</x:v>
      </x:c>
      <x:c r="K188" t="n">
        <x:v>3891.85</x:v>
      </x:c>
      <x:c r="L188" t="n">
        <x:v>14968.68</x:v>
      </x:c>
      <x:c r="M188" t="str">
        <x:v>SEM_RESPONSAVEL</x:v>
      </x:c>
      <x:c r="N188" t="str">
        <x:v>SIMULADO</x:v>
      </x:c>
    </x:row>
    <x:row r="189">
      <x:c r="A189" t="str">
        <x:v>DIRIGIDA_EXCECAO</x:v>
      </x:c>
      <x:c r="B189" t="str">
        <x:v>ATV-0003513</x:v>
      </x:c>
      <x:c r="C189" t="str">
        <x:v>Infraestrutura de mina</x:v>
      </x:c>
      <x:c r="D189" t="str">
        <x:v>Congonhas/MG</x:v>
      </x:c>
      <x:c r="E189" t="str">
        <x:v>2024-07-09</x:v>
      </x:c>
      <x:c r="F189" t="str">
        <x:v>2024-12-11</x:v>
      </x:c>
      <x:c r="G189" t="str">
        <x:v>ATIVO</x:v>
      </x:c>
      <x:c r="H189" t="str"/>
      <x:c r="I189" t="str">
        <x:v>DOC-SIM-0003513</x:v>
      </x:c>
      <x:c r="J189" t="n">
        <x:v>80730.71</x:v>
      </x:c>
      <x:c r="K189" t="n">
        <x:v>46522.78</x:v>
      </x:c>
      <x:c r="L189" t="n">
        <x:v>34207.93</x:v>
      </x:c>
      <x:c r="M189" t="str">
        <x:v>SEM_RESPONSAVEL</x:v>
      </x:c>
      <x:c r="N189" t="str">
        <x:v>SIMULADO</x:v>
      </x:c>
    </x:row>
    <x:row r="190">
      <x:c r="A190" t="str">
        <x:v>DIRIGIDA_EXCECAO</x:v>
      </x:c>
      <x:c r="B190" t="str">
        <x:v>ATV-0003514</x:v>
      </x:c>
      <x:c r="C190" t="str">
        <x:v>Direito de uso</x:v>
      </x:c>
      <x:c r="D190" t="str">
        <x:v>Arcos/MG</x:v>
      </x:c>
      <x:c r="E190" t="str">
        <x:v>2024-02-18</x:v>
      </x:c>
      <x:c r="F190" t="str">
        <x:v>2024-03-01</x:v>
      </x:c>
      <x:c r="G190" t="str">
        <x:v>ATIVO</x:v>
      </x:c>
      <x:c r="H190" t="str"/>
      <x:c r="I190" t="str">
        <x:v>DOC-SIM-0003514</x:v>
      </x:c>
      <x:c r="J190" t="n">
        <x:v>79039.67</x:v>
      </x:c>
      <x:c r="K190" t="n">
        <x:v>47549.76</x:v>
      </x:c>
      <x:c r="L190" t="n">
        <x:v>31489.91</x:v>
      </x:c>
      <x:c r="M190" t="str">
        <x:v>SEM_RESPONSAVEL</x:v>
      </x:c>
      <x:c r="N190" t="str">
        <x:v>SIMULADO</x:v>
      </x:c>
    </x:row>
    <x:row r="191">
      <x:c r="A191" t="str">
        <x:v>DIRIGIDA_EXCECAO</x:v>
      </x:c>
      <x:c r="B191" t="str">
        <x:v>ATV-0003515</x:v>
      </x:c>
      <x:c r="C191" t="str">
        <x:v>Máquinas e equipamentos</x:v>
      </x:c>
      <x:c r="D191" t="str">
        <x:v>Operação logística</x:v>
      </x:c>
      <x:c r="E191" t="str">
        <x:v>2020-04-24</x:v>
      </x:c>
      <x:c r="F191" t="str">
        <x:v>2020-07-11</x:v>
      </x:c>
      <x:c r="G191" t="str">
        <x:v>ATIVO</x:v>
      </x:c>
      <x:c r="H191" t="str"/>
      <x:c r="I191" t="str">
        <x:v>DOC-SIM-0003515</x:v>
      </x:c>
      <x:c r="J191" t="n">
        <x:v>46686.9</x:v>
      </x:c>
      <x:c r="K191" t="n">
        <x:v>28378.31</x:v>
      </x:c>
      <x:c r="L191" t="n">
        <x:v>18308.59</x:v>
      </x:c>
      <x:c r="M191" t="str">
        <x:v>SEM_RESPONSAVEL</x:v>
      </x:c>
      <x:c r="N191" t="str">
        <x:v>SIMULADO</x:v>
      </x:c>
    </x:row>
    <x:row r="192">
      <x:c r="A192" t="str">
        <x:v>DIRIGIDA_EXCECAO</x:v>
      </x:c>
      <x:c r="B192" t="str">
        <x:v>ATV-0003516</x:v>
      </x:c>
      <x:c r="C192" t="str">
        <x:v>Instalações industriais</x:v>
      </x:c>
      <x:c r="D192" t="str">
        <x:v>Outras unidades</x:v>
      </x:c>
      <x:c r="E192" t="str">
        <x:v>2021-09-17</x:v>
      </x:c>
      <x:c r="F192" t="str">
        <x:v>2021-12-20</x:v>
      </x:c>
      <x:c r="G192" t="str">
        <x:v>ATIVO</x:v>
      </x:c>
      <x:c r="H192" t="str"/>
      <x:c r="I192" t="str">
        <x:v>DOC-SIM-0003516</x:v>
      </x:c>
      <x:c r="J192" t="n">
        <x:v>55813.46</x:v>
      </x:c>
      <x:c r="K192" t="n">
        <x:v>31333.87</x:v>
      </x:c>
      <x:c r="L192" t="n">
        <x:v>24479.59</x:v>
      </x:c>
      <x:c r="M192" t="str">
        <x:v>SEM_RESPONSAVEL</x:v>
      </x:c>
      <x:c r="N192" t="str">
        <x:v>SIMULADO</x:v>
      </x:c>
    </x:row>
    <x:row r="193">
      <x:c r="A193" t="str">
        <x:v>DIRIGIDA_EXCECAO</x:v>
      </x:c>
      <x:c r="B193" t="str">
        <x:v>ATV-0003517</x:v>
      </x:c>
      <x:c r="C193" t="str">
        <x:v>Obras em andamento</x:v>
      </x:c>
      <x:c r="D193" t="str">
        <x:v>Congonhas/MG</x:v>
      </x:c>
      <x:c r="E193" t="str">
        <x:v>2021-02-21</x:v>
      </x:c>
      <x:c r="F193" t="str">
        <x:v>2021-06-28</x:v>
      </x:c>
      <x:c r="G193" t="str">
        <x:v>ATIVO</x:v>
      </x:c>
      <x:c r="H193" t="str"/>
      <x:c r="I193" t="str">
        <x:v>DOC-SIM-0003517</x:v>
      </x:c>
      <x:c r="J193" t="n">
        <x:v>15455.75</x:v>
      </x:c>
      <x:c r="K193" t="n">
        <x:v>0</x:v>
      </x:c>
      <x:c r="L193" t="n">
        <x:v>15455.75</x:v>
      </x:c>
      <x:c r="M193" t="str">
        <x:v>SEM_RESPONSAVEL</x:v>
      </x:c>
      <x:c r="N193" t="str">
        <x:v>SIMULADO</x:v>
      </x:c>
    </x:row>
    <x:row r="194">
      <x:c r="A194" t="str">
        <x:v>DIRIGIDA_EXCECAO</x:v>
      </x:c>
      <x:c r="B194" t="str">
        <x:v>ATV-0003518</x:v>
      </x:c>
      <x:c r="C194" t="str">
        <x:v>Veículos e equipamentos móveis</x:v>
      </x:c>
      <x:c r="D194" t="str">
        <x:v>Arcos/MG</x:v>
      </x:c>
      <x:c r="E194" t="str">
        <x:v>2013-12-24</x:v>
      </x:c>
      <x:c r="F194" t="str">
        <x:v>2014-02-15</x:v>
      </x:c>
      <x:c r="G194" t="str">
        <x:v>ATIVO</x:v>
      </x:c>
      <x:c r="H194" t="str"/>
      <x:c r="I194" t="str">
        <x:v>DOC-SIM-0003518</x:v>
      </x:c>
      <x:c r="J194" t="n">
        <x:v>33689.98</x:v>
      </x:c>
      <x:c r="K194" t="n">
        <x:v>5379.07</x:v>
      </x:c>
      <x:c r="L194" t="n">
        <x:v>28310.91</x:v>
      </x:c>
      <x:c r="M194" t="str">
        <x:v>SEM_RESPONSAVEL</x:v>
      </x:c>
      <x:c r="N194" t="str">
        <x:v>SIMULADO</x:v>
      </x:c>
    </x:row>
    <x:row r="195">
      <x:c r="A195" t="str">
        <x:v>DIRIGIDA_EXCECAO</x:v>
      </x:c>
      <x:c r="B195" t="str">
        <x:v>ATV-0003519</x:v>
      </x:c>
      <x:c r="C195" t="str">
        <x:v>Edificações</x:v>
      </x:c>
      <x:c r="D195" t="str">
        <x:v>Operação logística</x:v>
      </x:c>
      <x:c r="E195" t="str">
        <x:v>2015-06-08</x:v>
      </x:c>
      <x:c r="F195" t="str">
        <x:v>2015-08-19</x:v>
      </x:c>
      <x:c r="G195" t="str">
        <x:v>ATIVO</x:v>
      </x:c>
      <x:c r="H195" t="str"/>
      <x:c r="I195" t="str">
        <x:v>DOC-SIM-0003519</x:v>
      </x:c>
      <x:c r="J195" t="n">
        <x:v>56946.49</x:v>
      </x:c>
      <x:c r="K195" t="n">
        <x:v>29957.63</x:v>
      </x:c>
      <x:c r="L195" t="n">
        <x:v>26988.86</x:v>
      </x:c>
      <x:c r="M195" t="str">
        <x:v>SEM_RESPONSAVEL</x:v>
      </x:c>
      <x:c r="N195" t="str">
        <x:v>SIMULADO</x:v>
      </x:c>
    </x:row>
    <x:row r="196">
      <x:c r="A196" t="str">
        <x:v>DIRIGIDA_EXCECAO</x:v>
      </x:c>
      <x:c r="B196" t="str">
        <x:v>ATV-0003520</x:v>
      </x:c>
      <x:c r="C196" t="str">
        <x:v>Infraestrutura de mina</x:v>
      </x:c>
      <x:c r="D196" t="str">
        <x:v>Outras unidades</x:v>
      </x:c>
      <x:c r="E196" t="str">
        <x:v>2012-11-28</x:v>
      </x:c>
      <x:c r="F196" t="str">
        <x:v>2013-05-22</x:v>
      </x:c>
      <x:c r="G196" t="str">
        <x:v>ATIVO</x:v>
      </x:c>
      <x:c r="H196" t="str"/>
      <x:c r="I196" t="str">
        <x:v>DOC-SIM-0003520</x:v>
      </x:c>
      <x:c r="J196" t="n">
        <x:v>59987.98</x:v>
      </x:c>
      <x:c r="K196" t="n">
        <x:v>23409.94</x:v>
      </x:c>
      <x:c r="L196" t="n">
        <x:v>36578.04</x:v>
      </x:c>
      <x:c r="M196" t="str">
        <x:v>SEM_RESPONSAVEL</x:v>
      </x:c>
      <x:c r="N196" t="str">
        <x:v>SIMULADO</x:v>
      </x:c>
    </x:row>
    <x:row r="197">
      <x:c r="A197" t="str">
        <x:v>DIRIGIDA_EXCECAO</x:v>
      </x:c>
      <x:c r="B197" t="str">
        <x:v>ATV-0003521</x:v>
      </x:c>
      <x:c r="C197" t="str">
        <x:v>Direito de uso</x:v>
      </x:c>
      <x:c r="D197" t="str">
        <x:v>Congonhas/MG</x:v>
      </x:c>
      <x:c r="E197" t="str">
        <x:v>2025-12-14</x:v>
      </x:c>
      <x:c r="F197" t="str">
        <x:v>2026-05-13</x:v>
      </x:c>
      <x:c r="G197" t="str">
        <x:v>ATIVO</x:v>
      </x:c>
      <x:c r="H197" t="str"/>
      <x:c r="I197" t="str">
        <x:v>DOC-SIM-0003521</x:v>
      </x:c>
      <x:c r="J197" t="n">
        <x:v>54775.3</x:v>
      </x:c>
      <x:c r="K197" t="n">
        <x:v>16201.14</x:v>
      </x:c>
      <x:c r="L197" t="n">
        <x:v>38574.16</x:v>
      </x:c>
      <x:c r="M197" t="str">
        <x:v>SEM_RESPONSAVEL</x:v>
      </x:c>
      <x:c r="N197" t="str">
        <x:v>SIMULADO</x:v>
      </x:c>
    </x:row>
    <x:row r="198">
      <x:c r="A198" t="str">
        <x:v>DIRIGIDA_EXCECAO</x:v>
      </x:c>
      <x:c r="B198" t="str">
        <x:v>ATV-0003522</x:v>
      </x:c>
      <x:c r="C198" t="str">
        <x:v>Máquinas e equipamentos</x:v>
      </x:c>
      <x:c r="D198" t="str">
        <x:v>Arcos/MG</x:v>
      </x:c>
      <x:c r="E198" t="str">
        <x:v>2018-01-28</x:v>
      </x:c>
      <x:c r="F198" t="str">
        <x:v>2018-06-06</x:v>
      </x:c>
      <x:c r="G198" t="str">
        <x:v>ATIVO</x:v>
      </x:c>
      <x:c r="H198" t="str"/>
      <x:c r="I198" t="str">
        <x:v>DOC-SIM-0003522</x:v>
      </x:c>
      <x:c r="J198" t="n">
        <x:v>83592.41</x:v>
      </x:c>
      <x:c r="K198" t="n">
        <x:v>51441.48</x:v>
      </x:c>
      <x:c r="L198" t="n">
        <x:v>32150.93</x:v>
      </x:c>
      <x:c r="M198" t="str">
        <x:v>SEM_RESPONSAVEL</x:v>
      </x:c>
      <x:c r="N198" t="str">
        <x:v>SIMULADO</x:v>
      </x:c>
    </x:row>
    <x:row r="199">
      <x:c r="A199" t="str">
        <x:v>DIRIGIDA_EXCECAO</x:v>
      </x:c>
      <x:c r="B199" t="str">
        <x:v>ATV-0003523</x:v>
      </x:c>
      <x:c r="C199" t="str">
        <x:v>Instalações industriais</x:v>
      </x:c>
      <x:c r="D199" t="str">
        <x:v>Operação logística</x:v>
      </x:c>
      <x:c r="E199" t="str">
        <x:v>2024-08-22</x:v>
      </x:c>
      <x:c r="F199" t="str">
        <x:v>2024-11-01</x:v>
      </x:c>
      <x:c r="G199" t="str">
        <x:v>ATIVO</x:v>
      </x:c>
      <x:c r="H199" t="str"/>
      <x:c r="I199" t="str">
        <x:v>DOC-SIM-0003523</x:v>
      </x:c>
      <x:c r="J199" t="n">
        <x:v>47228.38</x:v>
      </x:c>
      <x:c r="K199" t="n">
        <x:v>18947.91</x:v>
      </x:c>
      <x:c r="L199" t="n">
        <x:v>28280.47</x:v>
      </x:c>
      <x:c r="M199" t="str">
        <x:v>SEM_RESPONSAVEL</x:v>
      </x:c>
      <x:c r="N199" t="str">
        <x:v>SIMULADO</x:v>
      </x:c>
    </x:row>
    <x:row r="200">
      <x:c r="A200" t="str">
        <x:v>DIRIGIDA_EXCECAO</x:v>
      </x:c>
      <x:c r="B200" t="str">
        <x:v>ATV-0003524</x:v>
      </x:c>
      <x:c r="C200" t="str">
        <x:v>Obras em andamento</x:v>
      </x:c>
      <x:c r="D200" t="str">
        <x:v>Outras unidades</x:v>
      </x:c>
      <x:c r="E200" t="str">
        <x:v>2022-11-24</x:v>
      </x:c>
      <x:c r="F200" t="str">
        <x:v>2022-12-30</x:v>
      </x:c>
      <x:c r="G200" t="str">
        <x:v>ATIVO</x:v>
      </x:c>
      <x:c r="H200" t="str"/>
      <x:c r="I200" t="str">
        <x:v>DOC-SIM-0003524</x:v>
      </x:c>
      <x:c r="J200" t="n">
        <x:v>23957.73</x:v>
      </x:c>
      <x:c r="K200" t="n">
        <x:v>0</x:v>
      </x:c>
      <x:c r="L200" t="n">
        <x:v>23957.73</x:v>
      </x:c>
      <x:c r="M200" t="str">
        <x:v>SEM_RESPONSAVEL</x:v>
      </x:c>
      <x:c r="N200" t="str">
        <x:v>SIMULADO</x:v>
      </x:c>
    </x:row>
    <x:row r="201">
      <x:c r="A201" t="str">
        <x:v>DIRIGIDA_EXCECAO</x:v>
      </x:c>
      <x:c r="B201" t="str">
        <x:v>ATV-0003525</x:v>
      </x:c>
      <x:c r="C201" t="str">
        <x:v>Veículos e equipamentos móveis</x:v>
      </x:c>
      <x:c r="D201" t="str">
        <x:v>Congonhas/MG</x:v>
      </x:c>
      <x:c r="E201" t="str">
        <x:v>2023-01-25</x:v>
      </x:c>
      <x:c r="F201" t="str">
        <x:v>2023-03-29</x:v>
      </x:c>
      <x:c r="G201" t="str">
        <x:v>ATIVO</x:v>
      </x:c>
      <x:c r="H201" t="str"/>
      <x:c r="I201" t="str">
        <x:v>DOC-SIM-0003525</x:v>
      </x:c>
      <x:c r="J201" t="n">
        <x:v>76085.37</x:v>
      </x:c>
      <x:c r="K201" t="n">
        <x:v>39150.72</x:v>
      </x:c>
      <x:c r="L201" t="n">
        <x:v>36934.65</x:v>
      </x:c>
      <x:c r="M201" t="str">
        <x:v>SEM_RESPONSAVEL</x:v>
      </x:c>
      <x:c r="N201" t="str">
        <x:v>SIMULADO</x:v>
      </x:c>
    </x:row>
    <x:row r="202">
      <x:c r="A202" t="str">
        <x:v>DIRIGIDA_EXCECAO</x:v>
      </x:c>
      <x:c r="B202" t="str">
        <x:v>ATV-0003526</x:v>
      </x:c>
      <x:c r="C202" t="str">
        <x:v>Edificações</x:v>
      </x:c>
      <x:c r="D202" t="str">
        <x:v>Arcos/MG</x:v>
      </x:c>
      <x:c r="E202" t="str">
        <x:v>2025-01-07</x:v>
      </x:c>
      <x:c r="F202" t="str">
        <x:v>2025-06-17</x:v>
      </x:c>
      <x:c r="G202" t="str">
        <x:v>ATIVO</x:v>
      </x:c>
      <x:c r="H202" t="str"/>
      <x:c r="I202" t="str">
        <x:v>DOC-SIM-0003526</x:v>
      </x:c>
      <x:c r="J202" t="n">
        <x:v>24628.48</x:v>
      </x:c>
      <x:c r="K202" t="n">
        <x:v>12956.21</x:v>
      </x:c>
      <x:c r="L202" t="n">
        <x:v>11672.27</x:v>
      </x:c>
      <x:c r="M202" t="str">
        <x:v>SEM_RESPONSAVEL</x:v>
      </x:c>
      <x:c r="N202" t="str">
        <x:v>SIMULADO</x:v>
      </x:c>
    </x:row>
    <x:row r="203">
      <x:c r="A203" t="str">
        <x:v>DIRIGIDA_EXCECAO</x:v>
      </x:c>
      <x:c r="B203" t="str">
        <x:v>ATV-0003527</x:v>
      </x:c>
      <x:c r="C203" t="str">
        <x:v>Infraestrutura de mina</x:v>
      </x:c>
      <x:c r="D203" t="str">
        <x:v>Operação logística</x:v>
      </x:c>
      <x:c r="E203" t="str">
        <x:v>2015-12-23</x:v>
      </x:c>
      <x:c r="F203" t="str">
        <x:v>2016-05-13</x:v>
      </x:c>
      <x:c r="G203" t="str">
        <x:v>ATIVO</x:v>
      </x:c>
      <x:c r="H203" t="str"/>
      <x:c r="I203" t="str">
        <x:v>DOC-SIM-0003527</x:v>
      </x:c>
      <x:c r="J203" t="n">
        <x:v>80381.89</x:v>
      </x:c>
      <x:c r="K203" t="n">
        <x:v>42994.96</x:v>
      </x:c>
      <x:c r="L203" t="n">
        <x:v>37386.93</x:v>
      </x:c>
      <x:c r="M203" t="str">
        <x:v>SEM_RESPONSAVEL</x:v>
      </x:c>
      <x:c r="N203" t="str">
        <x:v>SIMULADO</x:v>
      </x:c>
    </x:row>
    <x:row r="204">
      <x:c r="A204" t="str">
        <x:v>DIRIGIDA_EXCECAO</x:v>
      </x:c>
      <x:c r="B204" t="str">
        <x:v>ATV-0003528</x:v>
      </x:c>
      <x:c r="C204" t="str">
        <x:v>Direito de uso</x:v>
      </x:c>
      <x:c r="D204" t="str">
        <x:v>Outras unidades</x:v>
      </x:c>
      <x:c r="E204" t="str">
        <x:v>2015-12-31</x:v>
      </x:c>
      <x:c r="F204" t="str">
        <x:v>2016-06-05</x:v>
      </x:c>
      <x:c r="G204" t="str">
        <x:v>ATIVO</x:v>
      </x:c>
      <x:c r="H204" t="str"/>
      <x:c r="I204" t="str">
        <x:v>DOC-SIM-0003528</x:v>
      </x:c>
      <x:c r="J204" t="n">
        <x:v>32191.18</x:v>
      </x:c>
      <x:c r="K204" t="n">
        <x:v>17148.57</x:v>
      </x:c>
      <x:c r="L204" t="n">
        <x:v>15042.61</x:v>
      </x:c>
      <x:c r="M204" t="str">
        <x:v>SEM_RESPONSAVEL</x:v>
      </x:c>
      <x:c r="N204" t="str">
        <x:v>SIMULADO</x:v>
      </x:c>
    </x:row>
    <x:row r="205">
      <x:c r="A205" t="str">
        <x:v>DIRIGIDA_EXCECAO</x:v>
      </x:c>
      <x:c r="B205" t="str">
        <x:v>ATV-0003529</x:v>
      </x:c>
      <x:c r="C205" t="str">
        <x:v>Máquinas e equipamentos</x:v>
      </x:c>
      <x:c r="D205" t="str">
        <x:v>Congonhas/MG</x:v>
      </x:c>
      <x:c r="E205" t="str">
        <x:v>2017-03-12</x:v>
      </x:c>
      <x:c r="F205" t="str">
        <x:v>2017-08-10</x:v>
      </x:c>
      <x:c r="G205" t="str">
        <x:v>ATIVO</x:v>
      </x:c>
      <x:c r="H205" t="str"/>
      <x:c r="I205" t="str">
        <x:v>DOC-SIM-0003529</x:v>
      </x:c>
      <x:c r="J205" t="n">
        <x:v>18493.4</x:v>
      </x:c>
      <x:c r="K205" t="n">
        <x:v>7925.74</x:v>
      </x:c>
      <x:c r="L205" t="n">
        <x:v>10567.66</x:v>
      </x:c>
      <x:c r="M205" t="str">
        <x:v>SEM_RESPONSAVEL</x:v>
      </x:c>
      <x:c r="N205" t="str">
        <x:v>SIMULADO</x:v>
      </x:c>
    </x:row>
    <x:row r="206">
      <x:c r="A206" t="str">
        <x:v>DIRIGIDA_EXCECAO</x:v>
      </x:c>
      <x:c r="B206" t="str">
        <x:v>ATV-0003530</x:v>
      </x:c>
      <x:c r="C206" t="str">
        <x:v>Instalações industriais</x:v>
      </x:c>
      <x:c r="D206" t="str">
        <x:v>Arcos/MG</x:v>
      </x:c>
      <x:c r="E206" t="str">
        <x:v>2025-11-14</x:v>
      </x:c>
      <x:c r="F206" t="str">
        <x:v>2025-12-23</x:v>
      </x:c>
      <x:c r="G206" t="str">
        <x:v>ATIVO</x:v>
      </x:c>
      <x:c r="H206" t="str"/>
      <x:c r="I206" t="str">
        <x:v>DOC-SIM-0003530</x:v>
      </x:c>
      <x:c r="J206" t="n">
        <x:v>41462.21</x:v>
      </x:c>
      <x:c r="K206" t="n">
        <x:v>10520.26</x:v>
      </x:c>
      <x:c r="L206" t="n">
        <x:v>30941.95</x:v>
      </x:c>
      <x:c r="M206" t="str">
        <x:v>SEM_RESPONSAVEL</x:v>
      </x:c>
      <x:c r="N206" t="str">
        <x:v>SIMULADO</x:v>
      </x:c>
    </x:row>
    <x:row r="207">
      <x:c r="A207" t="str">
        <x:v>DIRIGIDA_EXCECAO</x:v>
      </x:c>
      <x:c r="B207" t="str">
        <x:v>ATV-0003531</x:v>
      </x:c>
      <x:c r="C207" t="str">
        <x:v>Obras em andamento</x:v>
      </x:c>
      <x:c r="D207" t="str">
        <x:v>Operação logística</x:v>
      </x:c>
      <x:c r="E207" t="str">
        <x:v>2022-04-29</x:v>
      </x:c>
      <x:c r="F207" t="str">
        <x:v>2022-06-24</x:v>
      </x:c>
      <x:c r="G207" t="str">
        <x:v>ATIVO</x:v>
      </x:c>
      <x:c r="H207" t="str"/>
      <x:c r="I207" t="str">
        <x:v>DOC-SIM-0003531</x:v>
      </x:c>
      <x:c r="J207" t="n">
        <x:v>4283.6</x:v>
      </x:c>
      <x:c r="K207" t="n">
        <x:v>0</x:v>
      </x:c>
      <x:c r="L207" t="n">
        <x:v>4283.6</x:v>
      </x:c>
      <x:c r="M207" t="str">
        <x:v>SEM_RESPONSAVEL</x:v>
      </x:c>
      <x:c r="N207" t="str">
        <x:v>SIMULADO</x:v>
      </x:c>
    </x:row>
    <x:row r="208">
      <x:c r="A208" t="str">
        <x:v>DIRIGIDA_EXCECAO</x:v>
      </x:c>
      <x:c r="B208" t="str">
        <x:v>ATV-0003532</x:v>
      </x:c>
      <x:c r="C208" t="str">
        <x:v>Veículos e equipamentos móveis</x:v>
      </x:c>
      <x:c r="D208" t="str">
        <x:v>Outras unidades</x:v>
      </x:c>
      <x:c r="E208" t="str">
        <x:v>2016-07-20</x:v>
      </x:c>
      <x:c r="F208" t="str">
        <x:v>2016-08-12</x:v>
      </x:c>
      <x:c r="G208" t="str">
        <x:v>ATIVO</x:v>
      </x:c>
      <x:c r="H208" t="str"/>
      <x:c r="I208" t="str">
        <x:v>DOC-SIM-0003532</x:v>
      </x:c>
      <x:c r="J208" t="n">
        <x:v>33690.89</x:v>
      </x:c>
      <x:c r="K208" t="n">
        <x:v>15865.02</x:v>
      </x:c>
      <x:c r="L208" t="n">
        <x:v>17825.87</x:v>
      </x:c>
      <x:c r="M208" t="str">
        <x:v>SEM_RESPONSAVEL</x:v>
      </x:c>
      <x:c r="N208" t="str">
        <x:v>SIMULADO</x:v>
      </x:c>
    </x:row>
    <x:row r="209">
      <x:c r="A209" t="str">
        <x:v>DIRIGIDA_EXCECAO</x:v>
      </x:c>
      <x:c r="B209" t="str">
        <x:v>ATV-0003533</x:v>
      </x:c>
      <x:c r="C209" t="str">
        <x:v>Edificações</x:v>
      </x:c>
      <x:c r="D209" t="str">
        <x:v>Congonhas/MG</x:v>
      </x:c>
      <x:c r="E209" t="str">
        <x:v>2013-06-05</x:v>
      </x:c>
      <x:c r="F209" t="str">
        <x:v>2013-09-12</x:v>
      </x:c>
      <x:c r="G209" t="str">
        <x:v>ATIVO</x:v>
      </x:c>
      <x:c r="H209" t="str"/>
      <x:c r="I209" t="str">
        <x:v>DOC-SIM-0003533</x:v>
      </x:c>
      <x:c r="J209" t="n">
        <x:v>56563.1</x:v>
      </x:c>
      <x:c r="K209" t="n">
        <x:v>24055.57</x:v>
      </x:c>
      <x:c r="L209" t="n">
        <x:v>32507.53</x:v>
      </x:c>
      <x:c r="M209" t="str">
        <x:v>SEM_RESPONSAVEL</x:v>
      </x:c>
      <x:c r="N209" t="str">
        <x:v>SIMULADO</x:v>
      </x:c>
    </x:row>
    <x:row r="210">
      <x:c r="A210" t="str">
        <x:v>DIRIGIDA_EXCECAO</x:v>
      </x:c>
      <x:c r="B210" t="str">
        <x:v>ATV-0003534</x:v>
      </x:c>
      <x:c r="C210" t="str">
        <x:v>Infraestrutura de mina</x:v>
      </x:c>
      <x:c r="D210" t="str">
        <x:v>Arcos/MG</x:v>
      </x:c>
      <x:c r="E210" t="str">
        <x:v>2014-11-20</x:v>
      </x:c>
      <x:c r="F210" t="str">
        <x:v>2015-05-15</x:v>
      </x:c>
      <x:c r="G210" t="str">
        <x:v>ATIVO</x:v>
      </x:c>
      <x:c r="H210" t="str"/>
      <x:c r="I210" t="str">
        <x:v>DOC-SIM-0003534</x:v>
      </x:c>
      <x:c r="J210" t="n">
        <x:v>17684</x:v>
      </x:c>
      <x:c r="K210" t="n">
        <x:v>10495.38</x:v>
      </x:c>
      <x:c r="L210" t="n">
        <x:v>7188.62</x:v>
      </x:c>
      <x:c r="M210" t="str">
        <x:v>SEM_RESPONSAVEL</x:v>
      </x:c>
      <x:c r="N210" t="str">
        <x:v>SIMULADO</x:v>
      </x:c>
    </x:row>
    <x:row r="211">
      <x:c r="A211" t="str">
        <x:v>DIRIGIDA_EXCECAO</x:v>
      </x:c>
      <x:c r="B211" t="str">
        <x:v>ATV-0003535</x:v>
      </x:c>
      <x:c r="C211" t="str">
        <x:v>Direito de uso</x:v>
      </x:c>
      <x:c r="D211" t="str">
        <x:v>Operação logística</x:v>
      </x:c>
      <x:c r="E211" t="str">
        <x:v>2019-11-10</x:v>
      </x:c>
      <x:c r="F211" t="str">
        <x:v>2020-04-19</x:v>
      </x:c>
      <x:c r="G211" t="str">
        <x:v>ATIVO</x:v>
      </x:c>
      <x:c r="H211" t="str"/>
      <x:c r="I211" t="str">
        <x:v>DOC-SIM-0003535</x:v>
      </x:c>
      <x:c r="J211" t="n">
        <x:v>27528.76</x:v>
      </x:c>
      <x:c r="K211" t="n">
        <x:v>16200.05</x:v>
      </x:c>
      <x:c r="L211" t="n">
        <x:v>11328.71</x:v>
      </x:c>
      <x:c r="M211" t="str">
        <x:v>SEM_RESPONSAVEL</x:v>
      </x:c>
      <x:c r="N211" t="str">
        <x:v>SIMULADO</x:v>
      </x:c>
    </x:row>
    <x:row r="212">
      <x:c r="A212" t="str">
        <x:v>DIRIGIDA_EXCECAO</x:v>
      </x:c>
      <x:c r="B212" t="str">
        <x:v>ATV-0003536</x:v>
      </x:c>
      <x:c r="C212" t="str">
        <x:v>Máquinas e equipamentos</x:v>
      </x:c>
      <x:c r="D212" t="str">
        <x:v>Outras unidades</x:v>
      </x:c>
      <x:c r="E212" t="str">
        <x:v>2014-02-05</x:v>
      </x:c>
      <x:c r="F212" t="str">
        <x:v>2014-07-25</x:v>
      </x:c>
      <x:c r="G212" t="str">
        <x:v>ATIVO</x:v>
      </x:c>
      <x:c r="H212" t="str"/>
      <x:c r="I212" t="str">
        <x:v>DOC-SIM-0003536</x:v>
      </x:c>
      <x:c r="J212" t="n">
        <x:v>7797.62</x:v>
      </x:c>
      <x:c r="K212" t="n">
        <x:v>1509.21</x:v>
      </x:c>
      <x:c r="L212" t="n">
        <x:v>6288.41</x:v>
      </x:c>
      <x:c r="M212" t="str">
        <x:v>SEM_RESPONSAVEL</x:v>
      </x:c>
      <x:c r="N212" t="str">
        <x:v>SIMULADO</x:v>
      </x:c>
    </x:row>
    <x:row r="213">
      <x:c r="A213" t="str">
        <x:v>DIRIGIDA_EXCECAO</x:v>
      </x:c>
      <x:c r="B213" t="str">
        <x:v>ATV-0003537</x:v>
      </x:c>
      <x:c r="C213" t="str">
        <x:v>Instalações industriais</x:v>
      </x:c>
      <x:c r="D213" t="str">
        <x:v>Congonhas/MG</x:v>
      </x:c>
      <x:c r="E213" t="str">
        <x:v>2013-12-08</x:v>
      </x:c>
      <x:c r="F213" t="str">
        <x:v>2013-12-16</x:v>
      </x:c>
      <x:c r="G213" t="str">
        <x:v>ATIVO</x:v>
      </x:c>
      <x:c r="H213" t="str"/>
      <x:c r="I213" t="str">
        <x:v>DOC-SIM-0003537</x:v>
      </x:c>
      <x:c r="J213" t="n">
        <x:v>34490.24</x:v>
      </x:c>
      <x:c r="K213" t="n">
        <x:v>14668.26</x:v>
      </x:c>
      <x:c r="L213" t="n">
        <x:v>19821.98</x:v>
      </x:c>
      <x:c r="M213" t="str">
        <x:v>SEM_RESPONSAVEL</x:v>
      </x:c>
      <x:c r="N213" t="str">
        <x:v>SIMULADO</x:v>
      </x:c>
    </x:row>
    <x:row r="214">
      <x:c r="A214" t="str">
        <x:v>DIRIGIDA_EXCECAO</x:v>
      </x:c>
      <x:c r="B214" t="str">
        <x:v>ATV-0003538</x:v>
      </x:c>
      <x:c r="C214" t="str">
        <x:v>Obras em andamento</x:v>
      </x:c>
      <x:c r="D214" t="str">
        <x:v>Arcos/MG</x:v>
      </x:c>
      <x:c r="E214" t="str">
        <x:v>2020-11-18</x:v>
      </x:c>
      <x:c r="F214" t="str">
        <x:v>2021-02-16</x:v>
      </x:c>
      <x:c r="G214" t="str">
        <x:v>ATIVO</x:v>
      </x:c>
      <x:c r="H214" t="str"/>
      <x:c r="I214" t="str">
        <x:v>DOC-SIM-0003538</x:v>
      </x:c>
      <x:c r="J214" t="n">
        <x:v>4061.81</x:v>
      </x:c>
      <x:c r="K214" t="n">
        <x:v>0</x:v>
      </x:c>
      <x:c r="L214" t="n">
        <x:v>4061.81</x:v>
      </x:c>
      <x:c r="M214" t="str">
        <x:v>SEM_RESPONSAVEL</x:v>
      </x:c>
      <x:c r="N214" t="str">
        <x:v>SIMULADO</x:v>
      </x:c>
    </x:row>
    <x:row r="215">
      <x:c r="A215" t="str">
        <x:v>DIRIGIDA_EXCECAO</x:v>
      </x:c>
      <x:c r="B215" t="str">
        <x:v>ATV-0003539</x:v>
      </x:c>
      <x:c r="C215" t="str">
        <x:v>Veículos e equipamentos móveis</x:v>
      </x:c>
      <x:c r="D215" t="str">
        <x:v>Operação logística</x:v>
      </x:c>
      <x:c r="E215" t="str">
        <x:v>2023-09-29</x:v>
      </x:c>
      <x:c r="F215" t="str">
        <x:v>2023-11-23</x:v>
      </x:c>
      <x:c r="G215" t="str">
        <x:v>ATIVO</x:v>
      </x:c>
      <x:c r="H215" t="str"/>
      <x:c r="I215" t="str">
        <x:v>DOC-SIM-0003539</x:v>
      </x:c>
      <x:c r="J215" t="n">
        <x:v>87086.18</x:v>
      </x:c>
      <x:c r="K215" t="n">
        <x:v>45015.56</x:v>
      </x:c>
      <x:c r="L215" t="n">
        <x:v>42070.62</x:v>
      </x:c>
      <x:c r="M215" t="str">
        <x:v>SEM_RESPONSAVEL</x:v>
      </x:c>
      <x:c r="N215" t="str">
        <x:v>SIMULADO</x:v>
      </x:c>
    </x:row>
    <x:row r="216">
      <x:c r="A216" t="str">
        <x:v>DIRIGIDA_EXCECAO</x:v>
      </x:c>
      <x:c r="B216" t="str">
        <x:v>ATV-0003540</x:v>
      </x:c>
      <x:c r="C216" t="str">
        <x:v>Edificações</x:v>
      </x:c>
      <x:c r="D216" t="str">
        <x:v>Outras unidades</x:v>
      </x:c>
      <x:c r="E216" t="str">
        <x:v>2024-02-12</x:v>
      </x:c>
      <x:c r="F216" t="str">
        <x:v>2024-08-08</x:v>
      </x:c>
      <x:c r="G216" t="str">
        <x:v>ATIVO</x:v>
      </x:c>
      <x:c r="H216" t="str"/>
      <x:c r="I216" t="str">
        <x:v>DOC-SIM-0003540</x:v>
      </x:c>
      <x:c r="J216" t="n">
        <x:v>42586.91</x:v>
      </x:c>
      <x:c r="K216" t="n">
        <x:v>25687.34</x:v>
      </x:c>
      <x:c r="L216" t="n">
        <x:v>16899.57</x:v>
      </x:c>
      <x:c r="M216" t="str">
        <x:v>SEM_RESPONSAVEL</x:v>
      </x:c>
      <x:c r="N216" t="str">
        <x:v>SIMULADO</x:v>
      </x:c>
    </x:row>
    <x:row r="217">
      <x:c r="A217" t="str">
        <x:v>DIRIGIDA_EXCECAO</x:v>
      </x:c>
      <x:c r="B217" t="str">
        <x:v>ATV-0003541</x:v>
      </x:c>
      <x:c r="C217" t="str">
        <x:v>Infraestrutura de mina</x:v>
      </x:c>
      <x:c r="D217" t="str">
        <x:v>Congonhas/MG</x:v>
      </x:c>
      <x:c r="E217" t="str">
        <x:v>2018-03-14</x:v>
      </x:c>
      <x:c r="F217" t="str">
        <x:v>2018-06-09</x:v>
      </x:c>
      <x:c r="G217" t="str">
        <x:v>ATIVO</x:v>
      </x:c>
      <x:c r="H217" t="str"/>
      <x:c r="I217" t="str">
        <x:v>DOC-SIM-0003541</x:v>
      </x:c>
      <x:c r="J217" t="n">
        <x:v>21685.02</x:v>
      </x:c>
      <x:c r="K217" t="n">
        <x:v>9899.68</x:v>
      </x:c>
      <x:c r="L217" t="n">
        <x:v>11785.34</x:v>
      </x:c>
      <x:c r="M217" t="str">
        <x:v>SEM_RESPONSAVEL</x:v>
      </x:c>
      <x:c r="N217" t="str">
        <x:v>SIMULADO</x:v>
      </x:c>
    </x:row>
    <x:row r="218">
      <x:c r="A218" t="str">
        <x:v>DIRIGIDA_EXCECAO</x:v>
      </x:c>
      <x:c r="B218" t="str">
        <x:v>ATV-0003542</x:v>
      </x:c>
      <x:c r="C218" t="str">
        <x:v>Direito de uso</x:v>
      </x:c>
      <x:c r="D218" t="str">
        <x:v>Arcos/MG</x:v>
      </x:c>
      <x:c r="E218" t="str">
        <x:v>2019-12-01</x:v>
      </x:c>
      <x:c r="F218" t="str">
        <x:v>2020-05-25</x:v>
      </x:c>
      <x:c r="G218" t="str">
        <x:v>ATIVO</x:v>
      </x:c>
      <x:c r="H218" t="str"/>
      <x:c r="I218" t="str">
        <x:v>DOC-SIM-0003542</x:v>
      </x:c>
      <x:c r="J218" t="n">
        <x:v>57630.04</x:v>
      </x:c>
      <x:c r="K218" t="n">
        <x:v>23326.44</x:v>
      </x:c>
      <x:c r="L218" t="n">
        <x:v>34303.6</x:v>
      </x:c>
      <x:c r="M218" t="str">
        <x:v>SEM_RESPONSAVEL</x:v>
      </x:c>
      <x:c r="N218" t="str">
        <x:v>SIMULADO</x:v>
      </x:c>
    </x:row>
    <x:row r="219">
      <x:c r="A219" t="str">
        <x:v>DIRIGIDA_EXCECAO</x:v>
      </x:c>
      <x:c r="B219" t="str">
        <x:v>ATV-0003543</x:v>
      </x:c>
      <x:c r="C219" t="str">
        <x:v>Máquinas e equipamentos</x:v>
      </x:c>
      <x:c r="D219" t="str">
        <x:v>Operação logística</x:v>
      </x:c>
      <x:c r="E219" t="str">
        <x:v>2022-07-20</x:v>
      </x:c>
      <x:c r="F219" t="str">
        <x:v>2022-11-30</x:v>
      </x:c>
      <x:c r="G219" t="str">
        <x:v>ATIVO</x:v>
      </x:c>
      <x:c r="H219" t="str"/>
      <x:c r="I219" t="str">
        <x:v>DOC-SIM-0003543</x:v>
      </x:c>
      <x:c r="J219" t="n">
        <x:v>54553.51</x:v>
      </x:c>
      <x:c r="K219" t="n">
        <x:v>29756.46</x:v>
      </x:c>
      <x:c r="L219" t="n">
        <x:v>24797.05</x:v>
      </x:c>
      <x:c r="M219" t="str">
        <x:v>SEM_RESPONSAVEL</x:v>
      </x:c>
      <x:c r="N219" t="str">
        <x:v>SIMULADO</x:v>
      </x:c>
    </x:row>
    <x:row r="220">
      <x:c r="A220" t="str">
        <x:v>DIRIGIDA_EXCECAO</x:v>
      </x:c>
      <x:c r="B220" t="str">
        <x:v>ATV-0003544</x:v>
      </x:c>
      <x:c r="C220" t="str">
        <x:v>Instalações industriais</x:v>
      </x:c>
      <x:c r="D220" t="str">
        <x:v>Outras unidades</x:v>
      </x:c>
      <x:c r="E220" t="str">
        <x:v>2022-04-03</x:v>
      </x:c>
      <x:c r="F220" t="str">
        <x:v>2022-05-24</x:v>
      </x:c>
      <x:c r="G220" t="str">
        <x:v>ATIVO</x:v>
      </x:c>
      <x:c r="H220" t="str"/>
      <x:c r="I220" t="str">
        <x:v>DOC-SIM-0003544</x:v>
      </x:c>
      <x:c r="J220" t="n">
        <x:v>5465.08</x:v>
      </x:c>
      <x:c r="K220" t="n">
        <x:v>2394.81</x:v>
      </x:c>
      <x:c r="L220" t="n">
        <x:v>3070.27</x:v>
      </x:c>
      <x:c r="M220" t="str">
        <x:v>SEM_RESPONSAVEL</x:v>
      </x:c>
      <x:c r="N220" t="str">
        <x:v>SIMULADO</x:v>
      </x:c>
    </x:row>
    <x:row r="221">
      <x:c r="A221" t="str">
        <x:v>DIRIGIDA_EXCECAO</x:v>
      </x:c>
      <x:c r="B221" t="str">
        <x:v>ATV-0003545</x:v>
      </x:c>
      <x:c r="C221" t="str">
        <x:v>Obras em andamento</x:v>
      </x:c>
      <x:c r="D221" t="str">
        <x:v>Congonhas/MG</x:v>
      </x:c>
      <x:c r="E221" t="str">
        <x:v>2020-06-05</x:v>
      </x:c>
      <x:c r="F221" t="str">
        <x:v>2020-09-27</x:v>
      </x:c>
      <x:c r="G221" t="str">
        <x:v>ATIVO</x:v>
      </x:c>
      <x:c r="H221" t="str"/>
      <x:c r="I221" t="str">
        <x:v>DOC-SIM-0003545</x:v>
      </x:c>
      <x:c r="J221" t="n">
        <x:v>31094.16</x:v>
      </x:c>
      <x:c r="K221" t="n">
        <x:v>0</x:v>
      </x:c>
      <x:c r="L221" t="n">
        <x:v>31094.16</x:v>
      </x:c>
      <x:c r="M221" t="str">
        <x:v>SEM_RESPONSAVEL</x:v>
      </x:c>
      <x:c r="N221" t="str">
        <x:v>SIMULADO</x:v>
      </x:c>
    </x:row>
    <x:row r="222">
      <x:c r="A222" t="str">
        <x:v>DIRIGIDA_EXCECAO</x:v>
      </x:c>
      <x:c r="B222" t="str">
        <x:v>ATV-0003546</x:v>
      </x:c>
      <x:c r="C222" t="str">
        <x:v>Veículos e equipamentos móveis</x:v>
      </x:c>
      <x:c r="D222" t="str">
        <x:v>Arcos/MG</x:v>
      </x:c>
      <x:c r="E222" t="str">
        <x:v>2017-02-14</x:v>
      </x:c>
      <x:c r="F222" t="str">
        <x:v>2017-04-25</x:v>
      </x:c>
      <x:c r="G222" t="str">
        <x:v>ATIVO</x:v>
      </x:c>
      <x:c r="H222" t="str"/>
      <x:c r="I222" t="str">
        <x:v>DOC-SIM-0003546</x:v>
      </x:c>
      <x:c r="J222" t="n">
        <x:v>91198.88</x:v>
      </x:c>
      <x:c r="K222" t="n">
        <x:v>50485.09</x:v>
      </x:c>
      <x:c r="L222" t="n">
        <x:v>40713.79</x:v>
      </x:c>
      <x:c r="M222" t="str">
        <x:v>SEM_RESPONSAVEL</x:v>
      </x:c>
      <x:c r="N222" t="str">
        <x:v>SIMULADO</x:v>
      </x:c>
    </x:row>
    <x:row r="223">
      <x:c r="A223" t="str">
        <x:v>DIRIGIDA_EXCECAO</x:v>
      </x:c>
      <x:c r="B223" t="str">
        <x:v>ATV-0003547</x:v>
      </x:c>
      <x:c r="C223" t="str">
        <x:v>Edificações</x:v>
      </x:c>
      <x:c r="D223" t="str">
        <x:v>Operação logística</x:v>
      </x:c>
      <x:c r="E223" t="str">
        <x:v>2023-12-12</x:v>
      </x:c>
      <x:c r="F223" t="str">
        <x:v>2024-02-06</x:v>
      </x:c>
      <x:c r="G223" t="str">
        <x:v>ATIVO</x:v>
      </x:c>
      <x:c r="H223" t="str"/>
      <x:c r="I223" t="str">
        <x:v>DOC-SIM-0003547</x:v>
      </x:c>
      <x:c r="J223" t="n">
        <x:v>25080.58</x:v>
      </x:c>
      <x:c r="K223" t="n">
        <x:v>4180.09</x:v>
      </x:c>
      <x:c r="L223" t="n">
        <x:v>20900.49</x:v>
      </x:c>
      <x:c r="M223" t="str">
        <x:v>SEM_RESPONSAVEL</x:v>
      </x:c>
      <x:c r="N223" t="str">
        <x:v>SIMULADO</x:v>
      </x:c>
    </x:row>
    <x:row r="224">
      <x:c r="A224" t="str">
        <x:v>DIRIGIDA_EXCECAO</x:v>
      </x:c>
      <x:c r="B224" t="str">
        <x:v>ATV-0003548</x:v>
      </x:c>
      <x:c r="C224" t="str">
        <x:v>Infraestrutura de mina</x:v>
      </x:c>
      <x:c r="D224" t="str">
        <x:v>Outras unidades</x:v>
      </x:c>
      <x:c r="E224" t="str">
        <x:v>2012-11-28</x:v>
      </x:c>
      <x:c r="F224" t="str">
        <x:v>2013-03-31</x:v>
      </x:c>
      <x:c r="G224" t="str">
        <x:v>ATIVO</x:v>
      </x:c>
      <x:c r="H224" t="str"/>
      <x:c r="I224" t="str">
        <x:v>DOC-SIM-0003548</x:v>
      </x:c>
      <x:c r="J224" t="n">
        <x:v>31738.65</x:v>
      </x:c>
      <x:c r="K224" t="n">
        <x:v>7324.3</x:v>
      </x:c>
      <x:c r="L224" t="n">
        <x:v>24414.35</x:v>
      </x:c>
      <x:c r="M224" t="str">
        <x:v>SEM_RESPONSAVEL</x:v>
      </x:c>
      <x:c r="N224" t="str">
        <x:v>SIMULADO</x:v>
      </x:c>
    </x:row>
    <x:row r="225">
      <x:c r="A225" t="str">
        <x:v>DIRIGIDA_EXCECAO</x:v>
      </x:c>
      <x:c r="B225" t="str">
        <x:v>ATV-0003549</x:v>
      </x:c>
      <x:c r="C225" t="str">
        <x:v>Direito de uso</x:v>
      </x:c>
      <x:c r="D225" t="str">
        <x:v>Congonhas/MG</x:v>
      </x:c>
      <x:c r="E225" t="str">
        <x:v>2020-08-26</x:v>
      </x:c>
      <x:c r="F225" t="str">
        <x:v>2021-02-08</x:v>
      </x:c>
      <x:c r="G225" t="str">
        <x:v>ATIVO</x:v>
      </x:c>
      <x:c r="H225" t="str"/>
      <x:c r="I225" t="str">
        <x:v>DOC-SIM-0003549</x:v>
      </x:c>
      <x:c r="J225" t="n">
        <x:v>47521.88</x:v>
      </x:c>
      <x:c r="K225" t="n">
        <x:v>21972.48</x:v>
      </x:c>
      <x:c r="L225" t="n">
        <x:v>25549.4</x:v>
      </x:c>
      <x:c r="M225" t="str">
        <x:v>SEM_RESPONSAVEL</x:v>
      </x:c>
      <x:c r="N225" t="str">
        <x:v>SIMULADO</x:v>
      </x:c>
    </x:row>
    <x:row r="226">
      <x:c r="A226" t="str">
        <x:v>DIRIGIDA_EXCECAO</x:v>
      </x:c>
      <x:c r="B226" t="str">
        <x:v>ATV-0003550</x:v>
      </x:c>
      <x:c r="C226" t="str">
        <x:v>Máquinas e equipamentos</x:v>
      </x:c>
      <x:c r="D226" t="str">
        <x:v>Arcos/MG</x:v>
      </x:c>
      <x:c r="E226" t="str">
        <x:v>2017-05-15</x:v>
      </x:c>
      <x:c r="F226" t="str">
        <x:v>2017-09-30</x:v>
      </x:c>
      <x:c r="G226" t="str">
        <x:v>ATIVO</x:v>
      </x:c>
      <x:c r="H226" t="str"/>
      <x:c r="I226" t="str">
        <x:v>DOC-SIM-0003550</x:v>
      </x:c>
      <x:c r="J226" t="n">
        <x:v>62032.8</x:v>
      </x:c>
      <x:c r="K226" t="n">
        <x:v>20118.74</x:v>
      </x:c>
      <x:c r="L226" t="n">
        <x:v>41914.06</x:v>
      </x:c>
      <x:c r="M226" t="str">
        <x:v>SEM_RESPONSAVEL</x:v>
      </x:c>
      <x:c r="N226" t="str">
        <x:v>SIMULADO</x:v>
      </x:c>
    </x:row>
    <x:row r="227">
      <x:c r="A227" t="str">
        <x:v>DIRIGIDA_EXCECAO</x:v>
      </x:c>
      <x:c r="B227" t="str">
        <x:v>ATV-0003551</x:v>
      </x:c>
      <x:c r="C227" t="str">
        <x:v>Instalações industriais</x:v>
      </x:c>
      <x:c r="D227" t="str">
        <x:v>Operação logística</x:v>
      </x:c>
      <x:c r="E227" t="str">
        <x:v>2017-12-17</x:v>
      </x:c>
      <x:c r="F227" t="str">
        <x:v>2018-03-30</x:v>
      </x:c>
      <x:c r="G227" t="str">
        <x:v>ATIVO</x:v>
      </x:c>
      <x:c r="H227" t="str"/>
      <x:c r="I227" t="str">
        <x:v>DOC-SIM-0003551</x:v>
      </x:c>
      <x:c r="J227" t="n">
        <x:v>2502.05</x:v>
      </x:c>
      <x:c r="K227" t="n">
        <x:v>1532.26</x:v>
      </x:c>
      <x:c r="L227" t="n">
        <x:v>969.79</x:v>
      </x:c>
      <x:c r="M227" t="str">
        <x:v>SEM_RESPONSAVEL</x:v>
      </x:c>
      <x:c r="N227" t="str">
        <x:v>SIMULADO</x:v>
      </x:c>
    </x:row>
    <x:row r="228">
      <x:c r="A228" t="str">
        <x:v>DIRIGIDA_EXCECAO</x:v>
      </x:c>
      <x:c r="B228" t="str">
        <x:v>ATV-0003552</x:v>
      </x:c>
      <x:c r="C228" t="str">
        <x:v>Obras em andamento</x:v>
      </x:c>
      <x:c r="D228" t="str">
        <x:v>Outras unidades</x:v>
      </x:c>
      <x:c r="E228" t="str">
        <x:v>2012-09-04</x:v>
      </x:c>
      <x:c r="F228" t="str">
        <x:v>2012-12-03</x:v>
      </x:c>
      <x:c r="G228" t="str">
        <x:v>ATIVO</x:v>
      </x:c>
      <x:c r="H228" t="str"/>
      <x:c r="I228" t="str">
        <x:v>DOC-SIM-0003552</x:v>
      </x:c>
      <x:c r="J228" t="n">
        <x:v>36295.37</x:v>
      </x:c>
      <x:c r="K228" t="n">
        <x:v>0</x:v>
      </x:c>
      <x:c r="L228" t="n">
        <x:v>36295.37</x:v>
      </x:c>
      <x:c r="M228" t="str">
        <x:v>SEM_RESPONSAVEL</x:v>
      </x:c>
      <x:c r="N228" t="str">
        <x:v>SIMULADO</x:v>
      </x:c>
    </x:row>
    <x:row r="229">
      <x:c r="A229" t="str">
        <x:v>DIRIGIDA_EXCECAO</x:v>
      </x:c>
      <x:c r="B229" t="str">
        <x:v>ATV-0003553</x:v>
      </x:c>
      <x:c r="C229" t="str">
        <x:v>Veículos e equipamentos móveis</x:v>
      </x:c>
      <x:c r="D229" t="str">
        <x:v>Congonhas/MG</x:v>
      </x:c>
      <x:c r="E229" t="str">
        <x:v>2020-10-30</x:v>
      </x:c>
      <x:c r="F229" t="str">
        <x:v>2020-10-31</x:v>
      </x:c>
      <x:c r="G229" t="str">
        <x:v>ATIVO</x:v>
      </x:c>
      <x:c r="H229" t="str"/>
      <x:c r="I229" t="str">
        <x:v>DOC-SIM-0003553</x:v>
      </x:c>
      <x:c r="J229" t="n">
        <x:v>37946</x:v>
      </x:c>
      <x:c r="K229" t="n">
        <x:v>16628.02</x:v>
      </x:c>
      <x:c r="L229" t="n">
        <x:v>21317.98</x:v>
      </x:c>
      <x:c r="M229" t="str">
        <x:v>SEM_RESPONSAVEL</x:v>
      </x:c>
      <x:c r="N229" t="str">
        <x:v>SIMULADO</x:v>
      </x:c>
    </x:row>
    <x:row r="230">
      <x:c r="A230" t="str">
        <x:v>DIRIGIDA_EXCECAO</x:v>
      </x:c>
      <x:c r="B230" t="str">
        <x:v>ATV-0003554</x:v>
      </x:c>
      <x:c r="C230" t="str">
        <x:v>Edificações</x:v>
      </x:c>
      <x:c r="D230" t="str">
        <x:v>Arcos/MG</x:v>
      </x:c>
      <x:c r="E230" t="str">
        <x:v>2019-01-18</x:v>
      </x:c>
      <x:c r="F230" t="str">
        <x:v>2019-04-21</x:v>
      </x:c>
      <x:c r="G230" t="str">
        <x:v>ATIVO</x:v>
      </x:c>
      <x:c r="H230" t="str"/>
      <x:c r="I230" t="str">
        <x:v>DOC-SIM-0003554</x:v>
      </x:c>
      <x:c r="J230" t="n">
        <x:v>55059.72</x:v>
      </x:c>
      <x:c r="K230" t="n">
        <x:v>21486.72</x:v>
      </x:c>
      <x:c r="L230" t="n">
        <x:v>33573</x:v>
      </x:c>
      <x:c r="M230" t="str">
        <x:v>SEM_RESPONSAVEL</x:v>
      </x:c>
      <x:c r="N230" t="str">
        <x:v>SIMULADO</x:v>
      </x:c>
    </x:row>
    <x:row r="231">
      <x:c r="A231" t="str">
        <x:v>DIRIGIDA_EXCECAO</x:v>
      </x:c>
      <x:c r="B231" t="str">
        <x:v>ATV-0003555</x:v>
      </x:c>
      <x:c r="C231" t="str">
        <x:v>Infraestrutura de mina</x:v>
      </x:c>
      <x:c r="D231" t="str">
        <x:v>Operação logística</x:v>
      </x:c>
      <x:c r="E231" t="str">
        <x:v>2023-03-25</x:v>
      </x:c>
      <x:c r="F231" t="str">
        <x:v>2023-04-27</x:v>
      </x:c>
      <x:c r="G231" t="str">
        <x:v>ATIVO</x:v>
      </x:c>
      <x:c r="H231" t="str"/>
      <x:c r="I231" t="str">
        <x:v>DOC-SIM-0003555</x:v>
      </x:c>
      <x:c r="J231" t="n">
        <x:v>9483.23</x:v>
      </x:c>
      <x:c r="K231" t="n">
        <x:v>4125.47</x:v>
      </x:c>
      <x:c r="L231" t="n">
        <x:v>5357.76</x:v>
      </x:c>
      <x:c r="M231" t="str">
        <x:v>SEM_RESPONSAVEL</x:v>
      </x:c>
      <x:c r="N231" t="str">
        <x:v>SIMULADO</x:v>
      </x:c>
    </x:row>
    <x:row r="232">
      <x:c r="A232" t="str">
        <x:v>DIRIGIDA_EXCECAO</x:v>
      </x:c>
      <x:c r="B232" t="str">
        <x:v>ATV-0004501</x:v>
      </x:c>
      <x:c r="C232" t="str">
        <x:v>Direito de uso</x:v>
      </x:c>
      <x:c r="D232" t="str">
        <x:v>Congonhas/MG</x:v>
      </x:c>
      <x:c r="E232" t="str">
        <x:v>2021-05-08</x:v>
      </x:c>
      <x:c r="F232" t="str">
        <x:v>2021-10-04</x:v>
      </x:c>
      <x:c r="G232" t="str">
        <x:v>INATIVO</x:v>
      </x:c>
      <x:c r="H232" t="str">
        <x:v>RESP-001</x:v>
      </x:c>
      <x:c r="I232" t="str">
        <x:v>DOC-SIM-0004501</x:v>
      </x:c>
      <x:c r="J232" t="n">
        <x:v>58822.72</x:v>
      </x:c>
      <x:c r="K232" t="n">
        <x:v>16504.21</x:v>
      </x:c>
      <x:c r="L232" t="n">
        <x:v>42318.51</x:v>
      </x:c>
      <x:c r="M232" t="str">
        <x:v>STATUS_INCONSISTENTE</x:v>
      </x:c>
      <x:c r="N232" t="str">
        <x:v>SIMULADO</x:v>
      </x:c>
    </x:row>
    <x:row r="233">
      <x:c r="A233" t="str">
        <x:v>DIRIGIDA_EXCECAO</x:v>
      </x:c>
      <x:c r="B233" t="str">
        <x:v>ATV-0004502</x:v>
      </x:c>
      <x:c r="C233" t="str">
        <x:v>Máquinas e equipamentos</x:v>
      </x:c>
      <x:c r="D233" t="str">
        <x:v>Arcos/MG</x:v>
      </x:c>
      <x:c r="E233" t="str">
        <x:v>2025-03-24</x:v>
      </x:c>
      <x:c r="F233" t="str">
        <x:v>2025-05-30</x:v>
      </x:c>
      <x:c r="G233" t="str">
        <x:v>INATIVO</x:v>
      </x:c>
      <x:c r="H233" t="str">
        <x:v>RESP-002</x:v>
      </x:c>
      <x:c r="I233" t="str">
        <x:v>DOC-SIM-0004502</x:v>
      </x:c>
      <x:c r="J233" t="n">
        <x:v>33628.79</x:v>
      </x:c>
      <x:c r="K233" t="n">
        <x:v>12741.34</x:v>
      </x:c>
      <x:c r="L233" t="n">
        <x:v>20887.45</x:v>
      </x:c>
      <x:c r="M233" t="str">
        <x:v>STATUS_INCONSISTENTE</x:v>
      </x:c>
      <x:c r="N233" t="str">
        <x:v>SIMULADO</x:v>
      </x:c>
    </x:row>
    <x:row r="234">
      <x:c r="A234" t="str">
        <x:v>DIRIGIDA_EXCECAO</x:v>
      </x:c>
      <x:c r="B234" t="str">
        <x:v>ATV-0004503</x:v>
      </x:c>
      <x:c r="C234" t="str">
        <x:v>Instalações industriais</x:v>
      </x:c>
      <x:c r="D234" t="str">
        <x:v>Operação logística</x:v>
      </x:c>
      <x:c r="E234" t="str">
        <x:v>2021-01-26</x:v>
      </x:c>
      <x:c r="F234" t="str">
        <x:v>2021-05-02</x:v>
      </x:c>
      <x:c r="G234" t="str">
        <x:v>INATIVO</x:v>
      </x:c>
      <x:c r="H234" t="str">
        <x:v>RESP-003</x:v>
      </x:c>
      <x:c r="I234" t="str">
        <x:v>DOC-SIM-0004503</x:v>
      </x:c>
      <x:c r="J234" t="n">
        <x:v>3455.14</x:v>
      </x:c>
      <x:c r="K234" t="n">
        <x:v>1933.05</x:v>
      </x:c>
      <x:c r="L234" t="n">
        <x:v>1522.09</x:v>
      </x:c>
      <x:c r="M234" t="str">
        <x:v>STATUS_INCONSISTENTE</x:v>
      </x:c>
      <x:c r="N234" t="str">
        <x:v>SIMULADO</x:v>
      </x:c>
    </x:row>
    <x:row r="235">
      <x:c r="A235" t="str">
        <x:v>DIRIGIDA_EXCECAO</x:v>
      </x:c>
      <x:c r="B235" t="str">
        <x:v>ATV-0004504</x:v>
      </x:c>
      <x:c r="C235" t="str">
        <x:v>Obras em andamento</x:v>
      </x:c>
      <x:c r="D235" t="str">
        <x:v>Outras unidades</x:v>
      </x:c>
      <x:c r="E235" t="str">
        <x:v>2015-08-04</x:v>
      </x:c>
      <x:c r="F235" t="str">
        <x:v>2015-09-27</x:v>
      </x:c>
      <x:c r="G235" t="str">
        <x:v>INATIVO</x:v>
      </x:c>
      <x:c r="H235" t="str">
        <x:v>RESP-004</x:v>
      </x:c>
      <x:c r="I235" t="str">
        <x:v>DOC-SIM-0004504</x:v>
      </x:c>
      <x:c r="J235" t="n">
        <x:v>18278.15</x:v>
      </x:c>
      <x:c r="K235" t="n">
        <x:v>0</x:v>
      </x:c>
      <x:c r="L235" t="n">
        <x:v>18278.15</x:v>
      </x:c>
      <x:c r="M235" t="str">
        <x:v>STATUS_INCONSISTENTE</x:v>
      </x:c>
      <x:c r="N235" t="str">
        <x:v>SIMULADO</x:v>
      </x:c>
    </x:row>
    <x:row r="236">
      <x:c r="A236" t="str">
        <x:v>DIRIGIDA_EXCECAO</x:v>
      </x:c>
      <x:c r="B236" t="str">
        <x:v>ATV-0004505</x:v>
      </x:c>
      <x:c r="C236" t="str">
        <x:v>Veículos e equipamentos móveis</x:v>
      </x:c>
      <x:c r="D236" t="str">
        <x:v>Congonhas/MG</x:v>
      </x:c>
      <x:c r="E236" t="str">
        <x:v>2020-01-04</x:v>
      </x:c>
      <x:c r="F236" t="str">
        <x:v>2020-04-24</x:v>
      </x:c>
      <x:c r="G236" t="str">
        <x:v>INATIVO</x:v>
      </x:c>
      <x:c r="H236" t="str">
        <x:v>RESP-005</x:v>
      </x:c>
      <x:c r="I236" t="str">
        <x:v>DOC-SIM-0004505</x:v>
      </x:c>
      <x:c r="J236" t="n">
        <x:v>70108.76</x:v>
      </x:c>
      <x:c r="K236" t="n">
        <x:v>28377.35</x:v>
      </x:c>
      <x:c r="L236" t="n">
        <x:v>41731.41</x:v>
      </x:c>
      <x:c r="M236" t="str">
        <x:v>STATUS_INCONSISTENTE</x:v>
      </x:c>
      <x:c r="N236" t="str">
        <x:v>SIMULADO</x:v>
      </x:c>
    </x:row>
    <x:row r="237">
      <x:c r="A237" t="str">
        <x:v>DIRIGIDA_EXCECAO</x:v>
      </x:c>
      <x:c r="B237" t="str">
        <x:v>ATV-0004506</x:v>
      </x:c>
      <x:c r="C237" t="str">
        <x:v>Edificações</x:v>
      </x:c>
      <x:c r="D237" t="str">
        <x:v>Arcos/MG</x:v>
      </x:c>
      <x:c r="E237" t="str">
        <x:v>2016-04-05</x:v>
      </x:c>
      <x:c r="F237" t="str">
        <x:v>2016-06-22</x:v>
      </x:c>
      <x:c r="G237" t="str">
        <x:v>INATIVO</x:v>
      </x:c>
      <x:c r="H237" t="str">
        <x:v>RESP-006</x:v>
      </x:c>
      <x:c r="I237" t="str">
        <x:v>DOC-SIM-0004506</x:v>
      </x:c>
      <x:c r="J237" t="n">
        <x:v>34115.94</x:v>
      </x:c>
      <x:c r="K237" t="n">
        <x:v>4957.01</x:v>
      </x:c>
      <x:c r="L237" t="n">
        <x:v>29158.93</x:v>
      </x:c>
      <x:c r="M237" t="str">
        <x:v>STATUS_INCONSISTENTE</x:v>
      </x:c>
      <x:c r="N237" t="str">
        <x:v>SIMULADO</x:v>
      </x:c>
    </x:row>
    <x:row r="238">
      <x:c r="A238" t="str">
        <x:v>DIRIGIDA_EXCECAO</x:v>
      </x:c>
      <x:c r="B238" t="str">
        <x:v>ATV-0004507</x:v>
      </x:c>
      <x:c r="C238" t="str">
        <x:v>Infraestrutura de mina</x:v>
      </x:c>
      <x:c r="D238" t="str">
        <x:v>Operação logística</x:v>
      </x:c>
      <x:c r="E238" t="str">
        <x:v>2025-03-08</x:v>
      </x:c>
      <x:c r="F238" t="str">
        <x:v>2025-05-31</x:v>
      </x:c>
      <x:c r="G238" t="str">
        <x:v>INATIVO</x:v>
      </x:c>
      <x:c r="H238" t="str">
        <x:v>RESP-007</x:v>
      </x:c>
      <x:c r="I238" t="str">
        <x:v>DOC-SIM-0004507</x:v>
      </x:c>
      <x:c r="J238" t="n">
        <x:v>45882.53</x:v>
      </x:c>
      <x:c r="K238" t="n">
        <x:v>25121.2</x:v>
      </x:c>
      <x:c r="L238" t="n">
        <x:v>20761.33</x:v>
      </x:c>
      <x:c r="M238" t="str">
        <x:v>STATUS_INCONSISTENTE</x:v>
      </x:c>
      <x:c r="N238" t="str">
        <x:v>SIMULADO</x:v>
      </x:c>
    </x:row>
    <x:row r="239">
      <x:c r="A239" t="str">
        <x:v>DIRIGIDA_EXCECAO</x:v>
      </x:c>
      <x:c r="B239" t="str">
        <x:v>ATV-0004508</x:v>
      </x:c>
      <x:c r="C239" t="str">
        <x:v>Direito de uso</x:v>
      </x:c>
      <x:c r="D239" t="str">
        <x:v>Outras unidades</x:v>
      </x:c>
      <x:c r="E239" t="str">
        <x:v>2017-02-18</x:v>
      </x:c>
      <x:c r="F239" t="str">
        <x:v>2017-07-07</x:v>
      </x:c>
      <x:c r="G239" t="str">
        <x:v>INATIVO</x:v>
      </x:c>
      <x:c r="H239" t="str">
        <x:v>RESP-008</x:v>
      </x:c>
      <x:c r="I239" t="str">
        <x:v>DOC-SIM-0004508</x:v>
      </x:c>
      <x:c r="J239" t="n">
        <x:v>81814.09</x:v>
      </x:c>
      <x:c r="K239" t="n">
        <x:v>41709.14</x:v>
      </x:c>
      <x:c r="L239" t="n">
        <x:v>40104.95</x:v>
      </x:c>
      <x:c r="M239" t="str">
        <x:v>STATUS_INCONSISTENTE</x:v>
      </x:c>
      <x:c r="N239" t="str">
        <x:v>SIMULADO</x:v>
      </x:c>
    </x:row>
    <x:row r="240">
      <x:c r="A240" t="str">
        <x:v>DIRIGIDA_EXCECAO</x:v>
      </x:c>
      <x:c r="B240" t="str">
        <x:v>ATV-0004509</x:v>
      </x:c>
      <x:c r="C240" t="str">
        <x:v>Máquinas e equipamentos</x:v>
      </x:c>
      <x:c r="D240" t="str">
        <x:v>Congonhas/MG</x:v>
      </x:c>
      <x:c r="E240" t="str">
        <x:v>2022-05-01</x:v>
      </x:c>
      <x:c r="F240" t="str">
        <x:v>2022-05-14</x:v>
      </x:c>
      <x:c r="G240" t="str">
        <x:v>INATIVO</x:v>
      </x:c>
      <x:c r="H240" t="str">
        <x:v>RESP-009</x:v>
      </x:c>
      <x:c r="I240" t="str">
        <x:v>DOC-SIM-0004509</x:v>
      </x:c>
      <x:c r="J240" t="n">
        <x:v>1816.07</x:v>
      </x:c>
      <x:c r="K240" t="n">
        <x:v>1033.28</x:v>
      </x:c>
      <x:c r="L240" t="n">
        <x:v>782.79</x:v>
      </x:c>
      <x:c r="M240" t="str">
        <x:v>STATUS_INCONSISTENTE</x:v>
      </x:c>
      <x:c r="N240" t="str">
        <x:v>SIMULADO</x:v>
      </x:c>
    </x:row>
    <x:row r="241">
      <x:c r="A241" t="str">
        <x:v>DIRIGIDA_EXCECAO</x:v>
      </x:c>
      <x:c r="B241" t="str">
        <x:v>ATV-0004510</x:v>
      </x:c>
      <x:c r="C241" t="str">
        <x:v>Instalações industriais</x:v>
      </x:c>
      <x:c r="D241" t="str">
        <x:v>Arcos/MG</x:v>
      </x:c>
      <x:c r="E241" t="str">
        <x:v>2012-01-09</x:v>
      </x:c>
      <x:c r="F241" t="str">
        <x:v>2012-04-02</x:v>
      </x:c>
      <x:c r="G241" t="str">
        <x:v>INATIVO</x:v>
      </x:c>
      <x:c r="H241" t="str">
        <x:v>RESP-010</x:v>
      </x:c>
      <x:c r="I241" t="str">
        <x:v>DOC-SIM-0004510</x:v>
      </x:c>
      <x:c r="J241" t="n">
        <x:v>20372.71</x:v>
      </x:c>
      <x:c r="K241" t="n">
        <x:v>9300.58</x:v>
      </x:c>
      <x:c r="L241" t="n">
        <x:v>11072.13</x:v>
      </x:c>
      <x:c r="M241" t="str">
        <x:v>STATUS_INCONSISTENTE</x:v>
      </x:c>
      <x:c r="N241" t="str">
        <x:v>SIMULADO</x:v>
      </x:c>
    </x:row>
    <x:row r="242">
      <x:c r="A242" t="str">
        <x:v>DIRIGIDA_EXCECAO</x:v>
      </x:c>
      <x:c r="B242" t="str">
        <x:v>ATV-0004511</x:v>
      </x:c>
      <x:c r="C242" t="str">
        <x:v>Obras em andamento</x:v>
      </x:c>
      <x:c r="D242" t="str">
        <x:v>Operação logística</x:v>
      </x:c>
      <x:c r="E242" t="str">
        <x:v>2023-03-10</x:v>
      </x:c>
      <x:c r="F242" t="str">
        <x:v>2023-08-27</x:v>
      </x:c>
      <x:c r="G242" t="str">
        <x:v>INATIVO</x:v>
      </x:c>
      <x:c r="H242" t="str">
        <x:v>RESP-011</x:v>
      </x:c>
      <x:c r="I242" t="str">
        <x:v>DOC-SIM-0004511</x:v>
      </x:c>
      <x:c r="J242" t="n">
        <x:v>32846.74</x:v>
      </x:c>
      <x:c r="K242" t="n">
        <x:v>0</x:v>
      </x:c>
      <x:c r="L242" t="n">
        <x:v>32846.74</x:v>
      </x:c>
      <x:c r="M242" t="str">
        <x:v>STATUS_INCONSISTENTE</x:v>
      </x:c>
      <x:c r="N242" t="str">
        <x:v>SIMULADO</x:v>
      </x:c>
    </x:row>
    <x:row r="243">
      <x:c r="A243" t="str">
        <x:v>DIRIGIDA_EXCECAO</x:v>
      </x:c>
      <x:c r="B243" t="str">
        <x:v>ATV-0004512</x:v>
      </x:c>
      <x:c r="C243" t="str">
        <x:v>Veículos e equipamentos móveis</x:v>
      </x:c>
      <x:c r="D243" t="str">
        <x:v>Outras unidades</x:v>
      </x:c>
      <x:c r="E243" t="str">
        <x:v>2013-09-09</x:v>
      </x:c>
      <x:c r="F243" t="str">
        <x:v>2014-03-04</x:v>
      </x:c>
      <x:c r="G243" t="str">
        <x:v>INATIVO</x:v>
      </x:c>
      <x:c r="H243" t="str">
        <x:v>RESP-012</x:v>
      </x:c>
      <x:c r="I243" t="str">
        <x:v>DOC-SIM-0004512</x:v>
      </x:c>
      <x:c r="J243" t="n">
        <x:v>81584.12</x:v>
      </x:c>
      <x:c r="K243" t="n">
        <x:v>40792.06</x:v>
      </x:c>
      <x:c r="L243" t="n">
        <x:v>40792.06</x:v>
      </x:c>
      <x:c r="M243" t="str">
        <x:v>STATUS_INCONSISTENTE</x:v>
      </x:c>
      <x:c r="N243" t="str">
        <x:v>SIMULADO</x:v>
      </x:c>
    </x:row>
    <x:row r="244">
      <x:c r="A244" t="str">
        <x:v>DIRIGIDA_EXCECAO</x:v>
      </x:c>
      <x:c r="B244" t="str">
        <x:v>ATV-0004513</x:v>
      </x:c>
      <x:c r="C244" t="str">
        <x:v>Edificações</x:v>
      </x:c>
      <x:c r="D244" t="str">
        <x:v>Congonhas/MG</x:v>
      </x:c>
      <x:c r="E244" t="str">
        <x:v>2015-03-24</x:v>
      </x:c>
      <x:c r="F244" t="str">
        <x:v>2015-06-04</x:v>
      </x:c>
      <x:c r="G244" t="str">
        <x:v>INATIVO</x:v>
      </x:c>
      <x:c r="H244" t="str">
        <x:v>RESP-013</x:v>
      </x:c>
      <x:c r="I244" t="str">
        <x:v>DOC-SIM-0004513</x:v>
      </x:c>
      <x:c r="J244" t="n">
        <x:v>42169.89</x:v>
      </x:c>
      <x:c r="K244" t="n">
        <x:v>12680.45</x:v>
      </x:c>
      <x:c r="L244" t="n">
        <x:v>29489.44</x:v>
      </x:c>
      <x:c r="M244" t="str">
        <x:v>STATUS_INCONSISTENTE</x:v>
      </x:c>
      <x:c r="N244" t="str">
        <x:v>SIMULADO</x:v>
      </x:c>
    </x:row>
    <x:row r="245">
      <x:c r="A245" t="str">
        <x:v>DIRIGIDA_EXCECAO</x:v>
      </x:c>
      <x:c r="B245" t="str">
        <x:v>ATV-0004514</x:v>
      </x:c>
      <x:c r="C245" t="str">
        <x:v>Infraestrutura de mina</x:v>
      </x:c>
      <x:c r="D245" t="str">
        <x:v>Arcos/MG</x:v>
      </x:c>
      <x:c r="E245" t="str">
        <x:v>2012-06-10</x:v>
      </x:c>
      <x:c r="F245" t="str">
        <x:v>2012-11-04</x:v>
      </x:c>
      <x:c r="G245" t="str">
        <x:v>INATIVO</x:v>
      </x:c>
      <x:c r="H245" t="str">
        <x:v>RESP-014</x:v>
      </x:c>
      <x:c r="I245" t="str">
        <x:v>DOC-SIM-0004514</x:v>
      </x:c>
      <x:c r="J245" t="n">
        <x:v>32165.01</x:v>
      </x:c>
      <x:c r="K245" t="n">
        <x:v>4906.52</x:v>
      </x:c>
      <x:c r="L245" t="n">
        <x:v>27258.49</x:v>
      </x:c>
      <x:c r="M245" t="str">
        <x:v>STATUS_INCONSISTENTE</x:v>
      </x:c>
      <x:c r="N245" t="str">
        <x:v>SIMULADO</x:v>
      </x:c>
    </x:row>
    <x:row r="246">
      <x:c r="A246" t="str">
        <x:v>DIRIGIDA_EXCECAO</x:v>
      </x:c>
      <x:c r="B246" t="str">
        <x:v>ATV-0004515</x:v>
      </x:c>
      <x:c r="C246" t="str">
        <x:v>Direito de uso</x:v>
      </x:c>
      <x:c r="D246" t="str">
        <x:v>Operação logística</x:v>
      </x:c>
      <x:c r="E246" t="str">
        <x:v>2017-02-06</x:v>
      </x:c>
      <x:c r="F246" t="str">
        <x:v>2017-07-05</x:v>
      </x:c>
      <x:c r="G246" t="str">
        <x:v>INATIVO</x:v>
      </x:c>
      <x:c r="H246" t="str">
        <x:v>RESP-015</x:v>
      </x:c>
      <x:c r="I246" t="str">
        <x:v>DOC-SIM-0004515</x:v>
      </x:c>
      <x:c r="J246" t="n">
        <x:v>52907.04</x:v>
      </x:c>
      <x:c r="K246" t="n">
        <x:v>30488.8</x:v>
      </x:c>
      <x:c r="L246" t="n">
        <x:v>22418.24</x:v>
      </x:c>
      <x:c r="M246" t="str">
        <x:v>STATUS_INCONSISTENTE</x:v>
      </x:c>
      <x:c r="N246" t="str">
        <x:v>SIMULADO</x:v>
      </x:c>
    </x:row>
    <x:row r="247">
      <x:c r="A247" t="str">
        <x:v>DIRIGIDA_EXCECAO</x:v>
      </x:c>
      <x:c r="B247" t="str">
        <x:v>ATV-0004516</x:v>
      </x:c>
      <x:c r="C247" t="str">
        <x:v>Máquinas e equipamentos</x:v>
      </x:c>
      <x:c r="D247" t="str">
        <x:v>Outras unidades</x:v>
      </x:c>
      <x:c r="E247" t="str">
        <x:v>2017-09-15</x:v>
      </x:c>
      <x:c r="F247" t="str">
        <x:v>2017-12-16</x:v>
      </x:c>
      <x:c r="G247" t="str">
        <x:v>INATIVO</x:v>
      </x:c>
      <x:c r="H247" t="str">
        <x:v>RESP-016</x:v>
      </x:c>
      <x:c r="I247" t="str">
        <x:v>DOC-SIM-0004516</x:v>
      </x:c>
      <x:c r="J247" t="n">
        <x:v>48654.65</x:v>
      </x:c>
      <x:c r="K247" t="n">
        <x:v>23574.93</x:v>
      </x:c>
      <x:c r="L247" t="n">
        <x:v>25079.72</x:v>
      </x:c>
      <x:c r="M247" t="str">
        <x:v>STATUS_INCONSISTENTE</x:v>
      </x:c>
      <x:c r="N247" t="str">
        <x:v>SIMULADO</x:v>
      </x:c>
    </x:row>
    <x:row r="248">
      <x:c r="A248" t="str">
        <x:v>DIRIGIDA_EXCECAO</x:v>
      </x:c>
      <x:c r="B248" t="str">
        <x:v>ATV-0004517</x:v>
      </x:c>
      <x:c r="C248" t="str">
        <x:v>Instalações industriais</x:v>
      </x:c>
      <x:c r="D248" t="str">
        <x:v>Congonhas/MG</x:v>
      </x:c>
      <x:c r="E248" t="str">
        <x:v>2023-07-06</x:v>
      </x:c>
      <x:c r="F248" t="str">
        <x:v>2023-12-15</x:v>
      </x:c>
      <x:c r="G248" t="str">
        <x:v>INATIVO</x:v>
      </x:c>
      <x:c r="H248" t="str">
        <x:v>RESP-017</x:v>
      </x:c>
      <x:c r="I248" t="str">
        <x:v>DOC-SIM-0004517</x:v>
      </x:c>
      <x:c r="J248" t="n">
        <x:v>15624.48</x:v>
      </x:c>
      <x:c r="K248" t="n">
        <x:v>6944.21</x:v>
      </x:c>
      <x:c r="L248" t="n">
        <x:v>8680.27</x:v>
      </x:c>
      <x:c r="M248" t="str">
        <x:v>STATUS_INCONSISTENTE</x:v>
      </x:c>
      <x:c r="N248" t="str">
        <x:v>SIMULADO</x:v>
      </x:c>
    </x:row>
    <x:row r="249">
      <x:c r="A249" t="str">
        <x:v>DIRIGIDA_EXCECAO</x:v>
      </x:c>
      <x:c r="B249" t="str">
        <x:v>ATV-0004518</x:v>
      </x:c>
      <x:c r="C249" t="str">
        <x:v>Obras em andamento</x:v>
      </x:c>
      <x:c r="D249" t="str">
        <x:v>Arcos/MG</x:v>
      </x:c>
      <x:c r="E249" t="str">
        <x:v>2020-06-18</x:v>
      </x:c>
      <x:c r="F249" t="str">
        <x:v>2020-08-26</x:v>
      </x:c>
      <x:c r="G249" t="str">
        <x:v>INATIVO</x:v>
      </x:c>
      <x:c r="H249" t="str">
        <x:v>RESP-018</x:v>
      </x:c>
      <x:c r="I249" t="str">
        <x:v>DOC-SIM-0004518</x:v>
      </x:c>
      <x:c r="J249" t="n">
        <x:v>28189.14</x:v>
      </x:c>
      <x:c r="K249" t="n">
        <x:v>0</x:v>
      </x:c>
      <x:c r="L249" t="n">
        <x:v>28189.14</x:v>
      </x:c>
      <x:c r="M249" t="str">
        <x:v>STATUS_INCONSISTENTE</x:v>
      </x:c>
      <x:c r="N249" t="str">
        <x:v>SIMULADO</x:v>
      </x:c>
    </x:row>
    <x:row r="250">
      <x:c r="A250" t="str">
        <x:v>DIRIGIDA_EXCECAO</x:v>
      </x:c>
      <x:c r="B250" t="str">
        <x:v>ATV-0004519</x:v>
      </x:c>
      <x:c r="C250" t="str">
        <x:v>Veículos e equipamentos móveis</x:v>
      </x:c>
      <x:c r="D250" t="str">
        <x:v>Operação logística</x:v>
      </x:c>
      <x:c r="E250" t="str">
        <x:v>2014-07-03</x:v>
      </x:c>
      <x:c r="F250" t="str">
        <x:v>2014-09-19</x:v>
      </x:c>
      <x:c r="G250" t="str">
        <x:v>INATIVO</x:v>
      </x:c>
      <x:c r="H250" t="str">
        <x:v>RESP-019</x:v>
      </x:c>
      <x:c r="I250" t="str">
        <x:v>DOC-SIM-0004519</x:v>
      </x:c>
      <x:c r="J250" t="n">
        <x:v>11655.96</x:v>
      </x:c>
      <x:c r="K250" t="n">
        <x:v>3936.78</x:v>
      </x:c>
      <x:c r="L250" t="n">
        <x:v>7719.18</x:v>
      </x:c>
      <x:c r="M250" t="str">
        <x:v>STATUS_INCONSISTENTE</x:v>
      </x:c>
      <x:c r="N250" t="str">
        <x:v>SIMULADO</x:v>
      </x:c>
    </x:row>
    <x:row r="251">
      <x:c r="A251" t="str">
        <x:v>DIRIGIDA_EXCECAO</x:v>
      </x:c>
      <x:c r="B251" t="str">
        <x:v>ATV-0004520</x:v>
      </x:c>
      <x:c r="C251" t="str">
        <x:v>Edificações</x:v>
      </x:c>
      <x:c r="D251" t="str">
        <x:v>Outras unidades</x:v>
      </x:c>
      <x:c r="E251" t="str">
        <x:v>2018-04-21</x:v>
      </x:c>
      <x:c r="F251" t="str">
        <x:v>2018-07-06</x:v>
      </x:c>
      <x:c r="G251" t="str">
        <x:v>INATIVO</x:v>
      </x:c>
      <x:c r="H251" t="str">
        <x:v>RESP-020</x:v>
      </x:c>
      <x:c r="I251" t="str">
        <x:v>DOC-SIM-0004520</x:v>
      </x:c>
      <x:c r="J251" t="n">
        <x:v>92685.49</x:v>
      </x:c>
      <x:c r="K251" t="n">
        <x:v>49775.54</x:v>
      </x:c>
      <x:c r="L251" t="n">
        <x:v>42909.95</x:v>
      </x:c>
      <x:c r="M251" t="str">
        <x:v>STATUS_INCONSISTENTE</x:v>
      </x:c>
      <x:c r="N251" t="str">
        <x:v>SIMULADO</x:v>
      </x:c>
    </x:row>
    <x:row r="252">
      <x:c r="A252" t="str">
        <x:v>DIRIGIDA_EXCECAO</x:v>
      </x:c>
      <x:c r="B252" t="str">
        <x:v>ATV-0004521</x:v>
      </x:c>
      <x:c r="C252" t="str">
        <x:v>Infraestrutura de mina</x:v>
      </x:c>
      <x:c r="D252" t="str">
        <x:v>Congonhas/MG</x:v>
      </x:c>
      <x:c r="E252" t="str">
        <x:v>2012-12-22</x:v>
      </x:c>
      <x:c r="F252" t="str">
        <x:v>2013-01-12</x:v>
      </x:c>
      <x:c r="G252" t="str">
        <x:v>INATIVO</x:v>
      </x:c>
      <x:c r="H252" t="str">
        <x:v>RESP-021</x:v>
      </x:c>
      <x:c r="I252" t="str">
        <x:v>DOC-SIM-0004521</x:v>
      </x:c>
      <x:c r="J252" t="n">
        <x:v>49711.43</x:v>
      </x:c>
      <x:c r="K252" t="n">
        <x:v>28376.05</x:v>
      </x:c>
      <x:c r="L252" t="n">
        <x:v>21335.38</x:v>
      </x:c>
      <x:c r="M252" t="str">
        <x:v>STATUS_INCONSISTENTE</x:v>
      </x:c>
      <x:c r="N252" t="str">
        <x:v>SIMULADO</x:v>
      </x:c>
    </x:row>
    <x:row r="253">
      <x:c r="A253" t="str">
        <x:v>DIRIGIDA_EXCECAO</x:v>
      </x:c>
      <x:c r="B253" t="str">
        <x:v>ATV-0004522</x:v>
      </x:c>
      <x:c r="C253" t="str">
        <x:v>Direito de uso</x:v>
      </x:c>
      <x:c r="D253" t="str">
        <x:v>Arcos/MG</x:v>
      </x:c>
      <x:c r="E253" t="str">
        <x:v>2025-09-14</x:v>
      </x:c>
      <x:c r="F253" t="str">
        <x:v>2025-09-21</x:v>
      </x:c>
      <x:c r="G253" t="str">
        <x:v>INATIVO</x:v>
      </x:c>
      <x:c r="H253" t="str">
        <x:v>RESP-022</x:v>
      </x:c>
      <x:c r="I253" t="str">
        <x:v>DOC-SIM-0004522</x:v>
      </x:c>
      <x:c r="J253" t="n">
        <x:v>28131.9</x:v>
      </x:c>
      <x:c r="K253" t="n">
        <x:v>5804.99</x:v>
      </x:c>
      <x:c r="L253" t="n">
        <x:v>22326.91</x:v>
      </x:c>
      <x:c r="M253" t="str">
        <x:v>STATUS_INCONSISTENTE</x:v>
      </x:c>
      <x:c r="N253" t="str">
        <x:v>SIMULADO</x:v>
      </x:c>
    </x:row>
    <x:row r="254">
      <x:c r="A254" t="str">
        <x:v>DIRIGIDA_EXCECAO</x:v>
      </x:c>
      <x:c r="B254" t="str">
        <x:v>ATV-0004523</x:v>
      </x:c>
      <x:c r="C254" t="str">
        <x:v>Máquinas e equipamentos</x:v>
      </x:c>
      <x:c r="D254" t="str">
        <x:v>Operação logística</x:v>
      </x:c>
      <x:c r="E254" t="str">
        <x:v>2014-07-06</x:v>
      </x:c>
      <x:c r="F254" t="str">
        <x:v>2014-10-28</x:v>
      </x:c>
      <x:c r="G254" t="str">
        <x:v>INATIVO</x:v>
      </x:c>
      <x:c r="H254" t="str">
        <x:v>RESP-023</x:v>
      </x:c>
      <x:c r="I254" t="str">
        <x:v>DOC-SIM-0004523</x:v>
      </x:c>
      <x:c r="J254" t="n">
        <x:v>10154.35</x:v>
      </x:c>
      <x:c r="K254" t="n">
        <x:v>4635.68</x:v>
      </x:c>
      <x:c r="L254" t="n">
        <x:v>5518.67</x:v>
      </x:c>
      <x:c r="M254" t="str">
        <x:v>STATUS_INCONSISTENTE</x:v>
      </x:c>
      <x:c r="N254" t="str">
        <x:v>SIMULADO</x:v>
      </x:c>
    </x:row>
    <x:row r="255">
      <x:c r="A255" t="str">
        <x:v>DIRIGIDA_EXCECAO</x:v>
      </x:c>
      <x:c r="B255" t="str">
        <x:v>ATV-0004524</x:v>
      </x:c>
      <x:c r="C255" t="str">
        <x:v>Instalações industriais</x:v>
      </x:c>
      <x:c r="D255" t="str">
        <x:v>Outras unidades</x:v>
      </x:c>
      <x:c r="E255" t="str">
        <x:v>2018-06-01</x:v>
      </x:c>
      <x:c r="F255" t="str">
        <x:v>2018-06-21</x:v>
      </x:c>
      <x:c r="G255" t="str">
        <x:v>INATIVO</x:v>
      </x:c>
      <x:c r="H255" t="str">
        <x:v>RESP-024</x:v>
      </x:c>
      <x:c r="I255" t="str">
        <x:v>DOC-SIM-0004524</x:v>
      </x:c>
      <x:c r="J255" t="n">
        <x:v>64951.92</x:v>
      </x:c>
      <x:c r="K255" t="n">
        <x:v>25347.09</x:v>
      </x:c>
      <x:c r="L255" t="n">
        <x:v>39604.83</x:v>
      </x:c>
      <x:c r="M255" t="str">
        <x:v>STATUS_INCONSISTENTE</x:v>
      </x:c>
      <x:c r="N255" t="str">
        <x:v>SIMULADO</x:v>
      </x:c>
    </x:row>
    <x:row r="256">
      <x:c r="A256" t="str">
        <x:v>DIRIGIDA_EXCECAO</x:v>
      </x:c>
      <x:c r="B256" t="str">
        <x:v>ATV-0004525</x:v>
      </x:c>
      <x:c r="C256" t="str">
        <x:v>Obras em andamento</x:v>
      </x:c>
      <x:c r="D256" t="str">
        <x:v>Congonhas/MG</x:v>
      </x:c>
      <x:c r="E256" t="str">
        <x:v>2017-05-21</x:v>
      </x:c>
      <x:c r="F256" t="str">
        <x:v>2017-08-10</x:v>
      </x:c>
      <x:c r="G256" t="str">
        <x:v>INATIVO</x:v>
      </x:c>
      <x:c r="H256" t="str">
        <x:v>RESP-025</x:v>
      </x:c>
      <x:c r="I256" t="str">
        <x:v>DOC-SIM-0004525</x:v>
      </x:c>
      <x:c r="J256" t="n">
        <x:v>31633.42</x:v>
      </x:c>
      <x:c r="K256" t="n">
        <x:v>0</x:v>
      </x:c>
      <x:c r="L256" t="n">
        <x:v>31633.42</x:v>
      </x:c>
      <x:c r="M256" t="str">
        <x:v>STATUS_INCONSISTENTE</x:v>
      </x:c>
      <x:c r="N256" t="str">
        <x:v>SIMULADO</x:v>
      </x:c>
    </x:row>
    <x:row r="257">
      <x:c r="A257" t="str">
        <x:v>DIRIGIDA_EXCECAO</x:v>
      </x:c>
      <x:c r="B257" t="str">
        <x:v>ATV-0004526</x:v>
      </x:c>
      <x:c r="C257" t="str">
        <x:v>Veículos e equipamentos móveis</x:v>
      </x:c>
      <x:c r="D257" t="str">
        <x:v>Arcos/MG</x:v>
      </x:c>
      <x:c r="E257" t="str">
        <x:v>2021-10-10</x:v>
      </x:c>
      <x:c r="F257" t="str">
        <x:v>2021-12-30</x:v>
      </x:c>
      <x:c r="G257" t="str">
        <x:v>INATIVO</x:v>
      </x:c>
      <x:c r="H257" t="str">
        <x:v>RESP-026</x:v>
      </x:c>
      <x:c r="I257" t="str">
        <x:v>DOC-SIM-0004526</x:v>
      </x:c>
      <x:c r="J257" t="n">
        <x:v>31530.77</x:v>
      </x:c>
      <x:c r="K257" t="n">
        <x:v>13091.72</x:v>
      </x:c>
      <x:c r="L257" t="n">
        <x:v>18439.05</x:v>
      </x:c>
      <x:c r="M257" t="str">
        <x:v>STATUS_INCONSISTENTE</x:v>
      </x:c>
      <x:c r="N257" t="str">
        <x:v>SIMULADO</x:v>
      </x:c>
    </x:row>
    <x:row r="258">
      <x:c r="A258" t="str">
        <x:v>DIRIGIDA_EXCECAO</x:v>
      </x:c>
      <x:c r="B258" t="str">
        <x:v>ATV-0004527</x:v>
      </x:c>
      <x:c r="C258" t="str">
        <x:v>Edificações</x:v>
      </x:c>
      <x:c r="D258" t="str">
        <x:v>Operação logística</x:v>
      </x:c>
      <x:c r="E258" t="str">
        <x:v>2017-09-23</x:v>
      </x:c>
      <x:c r="F258" t="str">
        <x:v>2018-01-07</x:v>
      </x:c>
      <x:c r="G258" t="str">
        <x:v>INATIVO</x:v>
      </x:c>
      <x:c r="H258" t="str">
        <x:v>RESP-027</x:v>
      </x:c>
      <x:c r="I258" t="str">
        <x:v>DOC-SIM-0004527</x:v>
      </x:c>
      <x:c r="J258" t="n">
        <x:v>89883.87</x:v>
      </x:c>
      <x:c r="K258" t="n">
        <x:v>49935.48</x:v>
      </x:c>
      <x:c r="L258" t="n">
        <x:v>39948.39</x:v>
      </x:c>
      <x:c r="M258" t="str">
        <x:v>STATUS_INCONSISTENTE</x:v>
      </x:c>
      <x:c r="N258" t="str">
        <x:v>SIMULADO</x:v>
      </x:c>
    </x:row>
    <x:row r="259">
      <x:c r="A259" t="str">
        <x:v>DIRIGIDA_EXCECAO</x:v>
      </x:c>
      <x:c r="B259" t="str">
        <x:v>ATV-0004528</x:v>
      </x:c>
      <x:c r="C259" t="str">
        <x:v>Infraestrutura de mina</x:v>
      </x:c>
      <x:c r="D259" t="str">
        <x:v>Outras unidades</x:v>
      </x:c>
      <x:c r="E259" t="str">
        <x:v>2017-05-12</x:v>
      </x:c>
      <x:c r="F259" t="str">
        <x:v>2017-08-24</x:v>
      </x:c>
      <x:c r="G259" t="str">
        <x:v>INATIVO</x:v>
      </x:c>
      <x:c r="H259" t="str">
        <x:v>RESP-028</x:v>
      </x:c>
      <x:c r="I259" t="str">
        <x:v>DOC-SIM-0004528</x:v>
      </x:c>
      <x:c r="J259" t="n">
        <x:v>1764.92</x:v>
      </x:c>
      <x:c r="K259" t="n">
        <x:v>773.39</x:v>
      </x:c>
      <x:c r="L259" t="n">
        <x:v>991.53</x:v>
      </x:c>
      <x:c r="M259" t="str">
        <x:v>STATUS_INCONSISTENTE</x:v>
      </x:c>
      <x:c r="N259" t="str">
        <x:v>SIMULADO</x:v>
      </x:c>
    </x:row>
    <x:row r="260">
      <x:c r="A260" t="str">
        <x:v>DIRIGIDA_EXCECAO</x:v>
      </x:c>
      <x:c r="B260" t="str">
        <x:v>ATV-0004529</x:v>
      </x:c>
      <x:c r="C260" t="str">
        <x:v>Direito de uso</x:v>
      </x:c>
      <x:c r="D260" t="str">
        <x:v>Congonhas/MG</x:v>
      </x:c>
      <x:c r="E260" t="str">
        <x:v>2017-10-31</x:v>
      </x:c>
      <x:c r="F260" t="str">
        <x:v>2017-11-12</x:v>
      </x:c>
      <x:c r="G260" t="str">
        <x:v>INATIVO</x:v>
      </x:c>
      <x:c r="H260" t="str">
        <x:v>RESP-029</x:v>
      </x:c>
      <x:c r="I260" t="str">
        <x:v>DOC-SIM-0004529</x:v>
      </x:c>
      <x:c r="J260" t="n">
        <x:v>44544.92</x:v>
      </x:c>
      <x:c r="K260" t="n">
        <x:v>15990.48</x:v>
      </x:c>
      <x:c r="L260" t="n">
        <x:v>28554.44</x:v>
      </x:c>
      <x:c r="M260" t="str">
        <x:v>STATUS_INCONSISTENTE</x:v>
      </x:c>
      <x:c r="N260" t="str">
        <x:v>SIMULADO</x:v>
      </x:c>
    </x:row>
    <x:row r="261">
      <x:c r="A261" t="str">
        <x:v>DIRIGIDA_EXCECAO</x:v>
      </x:c>
      <x:c r="B261" t="str">
        <x:v>ATV-0004530</x:v>
      </x:c>
      <x:c r="C261" t="str">
        <x:v>Máquinas e equipamentos</x:v>
      </x:c>
      <x:c r="D261" t="str">
        <x:v>Arcos/MG</x:v>
      </x:c>
      <x:c r="E261" t="str">
        <x:v>2023-10-25</x:v>
      </x:c>
      <x:c r="F261" t="str">
        <x:v>2024-03-22</x:v>
      </x:c>
      <x:c r="G261" t="str">
        <x:v>INATIVO</x:v>
      </x:c>
      <x:c r="H261" t="str">
        <x:v>RESP-030</x:v>
      </x:c>
      <x:c r="I261" t="str">
        <x:v>DOC-SIM-0004530</x:v>
      </x:c>
      <x:c r="J261" t="n">
        <x:v>80733.84</x:v>
      </x:c>
      <x:c r="K261" t="n">
        <x:v>38684.96</x:v>
      </x:c>
      <x:c r="L261" t="n">
        <x:v>42048.88</x:v>
      </x:c>
      <x:c r="M261" t="str">
        <x:v>STATUS_INCONSISTENTE</x:v>
      </x:c>
      <x:c r="N261" t="str">
        <x:v>SIMULADO</x:v>
      </x:c>
    </x:row>
    <x:row r="262">
      <x:c r="A262" t="str">
        <x:v>DIRIGIDA_EXCECAO</x:v>
      </x:c>
      <x:c r="B262" t="str">
        <x:v>ATV-0004531</x:v>
      </x:c>
      <x:c r="C262" t="str">
        <x:v>Instalações industriais</x:v>
      </x:c>
      <x:c r="D262" t="str">
        <x:v>Operação logística</x:v>
      </x:c>
      <x:c r="E262" t="str">
        <x:v>2017-03-29</x:v>
      </x:c>
      <x:c r="F262" t="str">
        <x:v>2017-07-18</x:v>
      </x:c>
      <x:c r="G262" t="str">
        <x:v>INATIVO</x:v>
      </x:c>
      <x:c r="H262" t="str">
        <x:v>RESP-031</x:v>
      </x:c>
      <x:c r="I262" t="str">
        <x:v>DOC-SIM-0004531</x:v>
      </x:c>
      <x:c r="J262" t="n">
        <x:v>9940.65</x:v>
      </x:c>
      <x:c r="K262" t="n">
        <x:v>5948.42</x:v>
      </x:c>
      <x:c r="L262" t="n">
        <x:v>3992.23</x:v>
      </x:c>
      <x:c r="M262" t="str">
        <x:v>STATUS_INCONSISTENTE</x:v>
      </x:c>
      <x:c r="N262" t="str">
        <x:v>SIMULADO</x:v>
      </x:c>
    </x:row>
    <x:row r="263">
      <x:c r="A263" t="str">
        <x:v>DIRIGIDA_EXCECAO</x:v>
      </x:c>
      <x:c r="B263" t="str">
        <x:v>ATV-0004532</x:v>
      </x:c>
      <x:c r="C263" t="str">
        <x:v>Obras em andamento</x:v>
      </x:c>
      <x:c r="D263" t="str">
        <x:v>Outras unidades</x:v>
      </x:c>
      <x:c r="E263" t="str">
        <x:v>2015-05-20</x:v>
      </x:c>
      <x:c r="F263" t="str">
        <x:v>2015-10-01</x:v>
      </x:c>
      <x:c r="G263" t="str">
        <x:v>INATIVO</x:v>
      </x:c>
      <x:c r="H263" t="str">
        <x:v>RESP-032</x:v>
      </x:c>
      <x:c r="I263" t="str">
        <x:v>DOC-SIM-0004532</x:v>
      </x:c>
      <x:c r="J263" t="n">
        <x:v>38900.32</x:v>
      </x:c>
      <x:c r="K263" t="n">
        <x:v>0</x:v>
      </x:c>
      <x:c r="L263" t="n">
        <x:v>38900.32</x:v>
      </x:c>
      <x:c r="M263" t="str">
        <x:v>STATUS_INCONSISTENTE</x:v>
      </x:c>
      <x:c r="N263" t="str">
        <x:v>SIMULADO</x:v>
      </x:c>
    </x:row>
    <x:row r="264">
      <x:c r="A264" t="str">
        <x:v>DIRIGIDA_EXCECAO</x:v>
      </x:c>
      <x:c r="B264" t="str">
        <x:v>ATV-0004533</x:v>
      </x:c>
      <x:c r="C264" t="str">
        <x:v>Veículos e equipamentos móveis</x:v>
      </x:c>
      <x:c r="D264" t="str">
        <x:v>Congonhas/MG</x:v>
      </x:c>
      <x:c r="E264" t="str">
        <x:v>2017-11-17</x:v>
      </x:c>
      <x:c r="F264" t="str">
        <x:v>2018-02-27</x:v>
      </x:c>
      <x:c r="G264" t="str">
        <x:v>INATIVO</x:v>
      </x:c>
      <x:c r="H264" t="str">
        <x:v>RESP-033</x:v>
      </x:c>
      <x:c r="I264" t="str">
        <x:v>DOC-SIM-0004533</x:v>
      </x:c>
      <x:c r="J264" t="n">
        <x:v>76889.64</x:v>
      </x:c>
      <x:c r="K264" t="n">
        <x:v>45117.06</x:v>
      </x:c>
      <x:c r="L264" t="n">
        <x:v>31772.58</x:v>
      </x:c>
      <x:c r="M264" t="str">
        <x:v>STATUS_INCONSISTENTE</x:v>
      </x:c>
      <x:c r="N264" t="str">
        <x:v>SIMULADO</x:v>
      </x:c>
    </x:row>
    <x:row r="265">
      <x:c r="A265" t="str">
        <x:v>DIRIGIDA_EXCECAO</x:v>
      </x:c>
      <x:c r="B265" t="str">
        <x:v>ATV-0004534</x:v>
      </x:c>
      <x:c r="C265" t="str">
        <x:v>Edificações</x:v>
      </x:c>
      <x:c r="D265" t="str">
        <x:v>Arcos/MG</x:v>
      </x:c>
      <x:c r="E265" t="str">
        <x:v>2020-05-21</x:v>
      </x:c>
      <x:c r="F265" t="str">
        <x:v>2020-09-03</x:v>
      </x:c>
      <x:c r="G265" t="str">
        <x:v>INATIVO</x:v>
      </x:c>
      <x:c r="H265" t="str">
        <x:v>RESP-034</x:v>
      </x:c>
      <x:c r="I265" t="str">
        <x:v>DOC-SIM-0004534</x:v>
      </x:c>
      <x:c r="J265" t="n">
        <x:v>4666.95</x:v>
      </x:c>
      <x:c r="K265" t="n">
        <x:v>1905.44</x:v>
      </x:c>
      <x:c r="L265" t="n">
        <x:v>2761.51</x:v>
      </x:c>
      <x:c r="M265" t="str">
        <x:v>STATUS_INCONSISTENTE</x:v>
      </x:c>
      <x:c r="N265" t="str">
        <x:v>SIMULADO</x:v>
      </x:c>
    </x:row>
    <x:row r="266">
      <x:c r="A266" t="str">
        <x:v>DIRIGIDA_EXCECAO</x:v>
      </x:c>
      <x:c r="B266" t="str">
        <x:v>ATV-0004535</x:v>
      </x:c>
      <x:c r="C266" t="str">
        <x:v>Infraestrutura de mina</x:v>
      </x:c>
      <x:c r="D266" t="str">
        <x:v>Operação logística</x:v>
      </x:c>
      <x:c r="E266" t="str">
        <x:v>2018-08-06</x:v>
      </x:c>
      <x:c r="F266" t="str">
        <x:v>2018-09-25</x:v>
      </x:c>
      <x:c r="G266" t="str">
        <x:v>INATIVO</x:v>
      </x:c>
      <x:c r="H266" t="str">
        <x:v>RESP-035</x:v>
      </x:c>
      <x:c r="I266" t="str">
        <x:v>DOC-SIM-0004535</x:v>
      </x:c>
      <x:c r="J266" t="n">
        <x:v>62604.42</x:v>
      </x:c>
      <x:c r="K266" t="n">
        <x:v>32506.14</x:v>
      </x:c>
      <x:c r="L266" t="n">
        <x:v>30098.28</x:v>
      </x:c>
      <x:c r="M266" t="str">
        <x:v>STATUS_INCONSISTENTE</x:v>
      </x:c>
      <x:c r="N266" t="str">
        <x:v>SIMULADO</x:v>
      </x:c>
    </x:row>
    <x:row r="267">
      <x:c r="A267" t="str">
        <x:v>DIRIGIDA_EXCECAO</x:v>
      </x:c>
      <x:c r="B267" t="str">
        <x:v>ATV-0004536</x:v>
      </x:c>
      <x:c r="C267" t="str">
        <x:v>Direito de uso</x:v>
      </x:c>
      <x:c r="D267" t="str">
        <x:v>Outras unidades</x:v>
      </x:c>
      <x:c r="E267" t="str">
        <x:v>2018-08-18</x:v>
      </x:c>
      <x:c r="F267" t="str">
        <x:v>2018-11-30</x:v>
      </x:c>
      <x:c r="G267" t="str">
        <x:v>INATIVO</x:v>
      </x:c>
      <x:c r="H267" t="str">
        <x:v>RESP-036</x:v>
      </x:c>
      <x:c r="I267" t="str">
        <x:v>DOC-SIM-0004536</x:v>
      </x:c>
      <x:c r="J267" t="n">
        <x:v>6990.61</x:v>
      </x:c>
      <x:c r="K267" t="n">
        <x:v>4089.94</x:v>
      </x:c>
      <x:c r="L267" t="n">
        <x:v>2900.67</x:v>
      </x:c>
      <x:c r="M267" t="str">
        <x:v>STATUS_INCONSISTENTE</x:v>
      </x:c>
      <x:c r="N267" t="str">
        <x:v>SIMULADO</x:v>
      </x:c>
    </x:row>
    <x:row r="268">
      <x:c r="A268" t="str">
        <x:v>DIRIGIDA_EXCECAO</x:v>
      </x:c>
      <x:c r="B268" t="str">
        <x:v>ATV-0004537</x:v>
      </x:c>
      <x:c r="C268" t="str">
        <x:v>Máquinas e equipamentos</x:v>
      </x:c>
      <x:c r="D268" t="str">
        <x:v>Congonhas/MG</x:v>
      </x:c>
      <x:c r="E268" t="str">
        <x:v>2023-07-19</x:v>
      </x:c>
      <x:c r="F268" t="str">
        <x:v>2023-12-09</x:v>
      </x:c>
      <x:c r="G268" t="str">
        <x:v>INATIVO</x:v>
      </x:c>
      <x:c r="H268" t="str">
        <x:v>RESP-037</x:v>
      </x:c>
      <x:c r="I268" t="str">
        <x:v>DOC-SIM-0004537</x:v>
      </x:c>
      <x:c r="J268" t="n">
        <x:v>43210</x:v>
      </x:c>
      <x:c r="K268" t="n">
        <x:v>20704.79</x:v>
      </x:c>
      <x:c r="L268" t="n">
        <x:v>22505.21</x:v>
      </x:c>
      <x:c r="M268" t="str">
        <x:v>STATUS_INCONSISTENTE</x:v>
      </x:c>
      <x:c r="N268" t="str">
        <x:v>SIMULADO</x:v>
      </x:c>
    </x:row>
    <x:row r="269">
      <x:c r="A269" t="str">
        <x:v>DIRIGIDA_EXCECAO</x:v>
      </x:c>
      <x:c r="B269" t="str">
        <x:v>ATV-0004538</x:v>
      </x:c>
      <x:c r="C269" t="str">
        <x:v>Instalações industriais</x:v>
      </x:c>
      <x:c r="D269" t="str">
        <x:v>Arcos/MG</x:v>
      </x:c>
      <x:c r="E269" t="str">
        <x:v>2013-01-16</x:v>
      </x:c>
      <x:c r="F269" t="str">
        <x:v>2013-02-04</x:v>
      </x:c>
      <x:c r="G269" t="str">
        <x:v>INATIVO</x:v>
      </x:c>
      <x:c r="H269" t="str">
        <x:v>RESP-038</x:v>
      </x:c>
      <x:c r="I269" t="str">
        <x:v>DOC-SIM-0004538</x:v>
      </x:c>
      <x:c r="J269" t="n">
        <x:v>68663.4</x:v>
      </x:c>
      <x:c r="K269" t="n">
        <x:v>37021.28</x:v>
      </x:c>
      <x:c r="L269" t="n">
        <x:v>31642.12</x:v>
      </x:c>
      <x:c r="M269" t="str">
        <x:v>STATUS_INCONSISTENTE</x:v>
      </x:c>
      <x:c r="N269" t="str">
        <x:v>SIMULADO</x:v>
      </x:c>
    </x:row>
    <x:row r="270">
      <x:c r="A270" t="str">
        <x:v>DIRIGIDA_EXCECAO</x:v>
      </x:c>
      <x:c r="B270" t="str">
        <x:v>ATV-0004539</x:v>
      </x:c>
      <x:c r="C270" t="str">
        <x:v>Obras em andamento</x:v>
      </x:c>
      <x:c r="D270" t="str">
        <x:v>Operação logística</x:v>
      </x:c>
      <x:c r="E270" t="str">
        <x:v>2019-04-18</x:v>
      </x:c>
      <x:c r="F270" t="str">
        <x:v>2019-07-26</x:v>
      </x:c>
      <x:c r="G270" t="str">
        <x:v>INATIVO</x:v>
      </x:c>
      <x:c r="H270" t="str">
        <x:v>RESP-039</x:v>
      </x:c>
      <x:c r="I270" t="str">
        <x:v>DOC-SIM-0004539</x:v>
      </x:c>
      <x:c r="J270" t="n">
        <x:v>2539.71</x:v>
      </x:c>
      <x:c r="K270" t="n">
        <x:v>0</x:v>
      </x:c>
      <x:c r="L270" t="n">
        <x:v>2539.71</x:v>
      </x:c>
      <x:c r="M270" t="str">
        <x:v>STATUS_INCONSISTENTE</x:v>
      </x:c>
      <x:c r="N270" t="str">
        <x:v>SIMULADO</x:v>
      </x:c>
    </x:row>
    <x:row r="271">
      <x:c r="A271" t="str">
        <x:v>DIRIGIDA_EXCECAO</x:v>
      </x:c>
      <x:c r="B271" t="str">
        <x:v>ATV-0004540</x:v>
      </x:c>
      <x:c r="C271" t="str">
        <x:v>Veículos e equipamentos móveis</x:v>
      </x:c>
      <x:c r="D271" t="str">
        <x:v>Outras unidades</x:v>
      </x:c>
      <x:c r="E271" t="str">
        <x:v>2013-08-22</x:v>
      </x:c>
      <x:c r="F271" t="str">
        <x:v>2013-12-20</x:v>
      </x:c>
      <x:c r="G271" t="str">
        <x:v>INATIVO</x:v>
      </x:c>
      <x:c r="H271" t="str">
        <x:v>RESP-040</x:v>
      </x:c>
      <x:c r="I271" t="str">
        <x:v>DOC-SIM-0004540</x:v>
      </x:c>
      <x:c r="J271" t="n">
        <x:v>49787.52</x:v>
      </x:c>
      <x:c r="K271" t="n">
        <x:v>22729.08</x:v>
      </x:c>
      <x:c r="L271" t="n">
        <x:v>27058.44</x:v>
      </x:c>
      <x:c r="M271" t="str">
        <x:v>STATUS_INCONSISTENTE</x:v>
      </x:c>
      <x:c r="N271" t="str">
        <x:v>SIMULADO</x:v>
      </x:c>
    </x:row>
    <x:row r="272">
      <x:c r="A272" t="str">
        <x:v>DIRIGIDA_EXCECAO</x:v>
      </x:c>
      <x:c r="B272" t="str">
        <x:v>ATV-0004541</x:v>
      </x:c>
      <x:c r="C272" t="str">
        <x:v>Edificações</x:v>
      </x:c>
      <x:c r="D272" t="str">
        <x:v>Congonhas/MG</x:v>
      </x:c>
      <x:c r="E272" t="str">
        <x:v>2025-11-20</x:v>
      </x:c>
      <x:c r="F272" t="str">
        <x:v>2026-02-23</x:v>
      </x:c>
      <x:c r="G272" t="str">
        <x:v>INATIVO</x:v>
      </x:c>
      <x:c r="H272" t="str">
        <x:v>RESP-041</x:v>
      </x:c>
      <x:c r="I272" t="str">
        <x:v>DOC-SIM-0004541</x:v>
      </x:c>
      <x:c r="J272" t="n">
        <x:v>86036.25</x:v>
      </x:c>
      <x:c r="K272" t="n">
        <x:v>50919.41</x:v>
      </x:c>
      <x:c r="L272" t="n">
        <x:v>35116.84</x:v>
      </x:c>
      <x:c r="M272" t="str">
        <x:v>STATUS_INCONSISTENTE</x:v>
      </x:c>
      <x:c r="N272" t="str">
        <x:v>SIMULADO</x:v>
      </x:c>
    </x:row>
    <x:row r="273">
      <x:c r="A273" t="str">
        <x:v>DIRIGIDA_EXCECAO</x:v>
      </x:c>
      <x:c r="B273" t="str">
        <x:v>ATV-0004542</x:v>
      </x:c>
      <x:c r="C273" t="str">
        <x:v>Infraestrutura de mina</x:v>
      </x:c>
      <x:c r="D273" t="str">
        <x:v>Arcos/MG</x:v>
      </x:c>
      <x:c r="E273" t="str">
        <x:v>2024-06-24</x:v>
      </x:c>
      <x:c r="F273" t="str">
        <x:v>2024-07-07</x:v>
      </x:c>
      <x:c r="G273" t="str">
        <x:v>INATIVO</x:v>
      </x:c>
      <x:c r="H273" t="str">
        <x:v>RESP-042</x:v>
      </x:c>
      <x:c r="I273" t="str">
        <x:v>DOC-SIM-0004542</x:v>
      </x:c>
      <x:c r="J273" t="n">
        <x:v>46793.13</x:v>
      </x:c>
      <x:c r="K273" t="n">
        <x:v>23278.99</x:v>
      </x:c>
      <x:c r="L273" t="n">
        <x:v>23514.14</x:v>
      </x:c>
      <x:c r="M273" t="str">
        <x:v>STATUS_INCONSISTENTE</x:v>
      </x:c>
      <x:c r="N273" t="str">
        <x:v>SIMULADO</x:v>
      </x:c>
    </x:row>
    <x:row r="274">
      <x:c r="A274" t="str">
        <x:v>DIRIGIDA_EXCECAO</x:v>
      </x:c>
      <x:c r="B274" t="str">
        <x:v>ATV-0004543</x:v>
      </x:c>
      <x:c r="C274" t="str">
        <x:v>Direito de uso</x:v>
      </x:c>
      <x:c r="D274" t="str">
        <x:v>Operação logística</x:v>
      </x:c>
      <x:c r="E274" t="str">
        <x:v>2012-06-15</x:v>
      </x:c>
      <x:c r="F274" t="str">
        <x:v>2012-07-29</x:v>
      </x:c>
      <x:c r="G274" t="str">
        <x:v>INATIVO</x:v>
      </x:c>
      <x:c r="H274" t="str">
        <x:v>RESP-043</x:v>
      </x:c>
      <x:c r="I274" t="str">
        <x:v>DOC-SIM-0004543</x:v>
      </x:c>
      <x:c r="J274" t="n">
        <x:v>1241.66</x:v>
      </x:c>
      <x:c r="K274" t="n">
        <x:v>493.67</x:v>
      </x:c>
      <x:c r="L274" t="n">
        <x:v>747.99</x:v>
      </x:c>
      <x:c r="M274" t="str">
        <x:v>STATUS_INCONSISTENTE</x:v>
      </x:c>
      <x:c r="N274" t="str">
        <x:v>SIMULADO</x:v>
      </x:c>
    </x:row>
    <x:row r="275">
      <x:c r="A275" t="str">
        <x:v>DIRIGIDA_EXCECAO</x:v>
      </x:c>
      <x:c r="B275" t="str">
        <x:v>ATV-0004544</x:v>
      </x:c>
      <x:c r="C275" t="str">
        <x:v>Máquinas e equipamentos</x:v>
      </x:c>
      <x:c r="D275" t="str">
        <x:v>Outras unidades</x:v>
      </x:c>
      <x:c r="E275" t="str">
        <x:v>2024-03-30</x:v>
      </x:c>
      <x:c r="F275" t="str">
        <x:v>2024-04-27</x:v>
      </x:c>
      <x:c r="G275" t="str">
        <x:v>INATIVO</x:v>
      </x:c>
      <x:c r="H275" t="str">
        <x:v>RESP-044</x:v>
      </x:c>
      <x:c r="I275" t="str">
        <x:v>DOC-SIM-0004544</x:v>
      </x:c>
      <x:c r="J275" t="n">
        <x:v>64063.53</x:v>
      </x:c>
      <x:c r="K275" t="n">
        <x:v>38231.46</x:v>
      </x:c>
      <x:c r="L275" t="n">
        <x:v>25832.07</x:v>
      </x:c>
      <x:c r="M275" t="str">
        <x:v>STATUS_INCONSISTENTE</x:v>
      </x:c>
      <x:c r="N275" t="str">
        <x:v>SIMULADO</x:v>
      </x:c>
    </x:row>
    <x:row r="276">
      <x:c r="A276" t="str">
        <x:v>DIRIGIDA_EXCECAO</x:v>
      </x:c>
      <x:c r="B276" t="str">
        <x:v>ATV-0004545</x:v>
      </x:c>
      <x:c r="C276" t="str">
        <x:v>Instalações industriais</x:v>
      </x:c>
      <x:c r="D276" t="str">
        <x:v>Congonhas/MG</x:v>
      </x:c>
      <x:c r="E276" t="str">
        <x:v>2012-01-10</x:v>
      </x:c>
      <x:c r="F276" t="str">
        <x:v>2012-06-03</x:v>
      </x:c>
      <x:c r="G276" t="str">
        <x:v>INATIVO</x:v>
      </x:c>
      <x:c r="H276" t="str">
        <x:v>RESP-045</x:v>
      </x:c>
      <x:c r="I276" t="str">
        <x:v>DOC-SIM-0004545</x:v>
      </x:c>
      <x:c r="J276" t="n">
        <x:v>38173.49</x:v>
      </x:c>
      <x:c r="K276" t="n">
        <x:v>13859.16</x:v>
      </x:c>
      <x:c r="L276" t="n">
        <x:v>24314.33</x:v>
      </x:c>
      <x:c r="M276" t="str">
        <x:v>STATUS_INCONSISTENTE</x:v>
      </x:c>
      <x:c r="N276" t="str">
        <x:v>SIMULADO</x:v>
      </x:c>
    </x:row>
    <x:row r="277">
      <x:c r="A277" t="str">
        <x:v>DIRIGIDA_EXCECAO</x:v>
      </x:c>
      <x:c r="B277" t="str">
        <x:v>ATV-0004546</x:v>
      </x:c>
      <x:c r="C277" t="str">
        <x:v>Obras em andamento</x:v>
      </x:c>
      <x:c r="D277" t="str">
        <x:v>Arcos/MG</x:v>
      </x:c>
      <x:c r="E277" t="str">
        <x:v>2025-02-17</x:v>
      </x:c>
      <x:c r="F277" t="str">
        <x:v>2025-03-31</x:v>
      </x:c>
      <x:c r="G277" t="str">
        <x:v>INATIVO</x:v>
      </x:c>
      <x:c r="H277" t="str">
        <x:v>RESP-046</x:v>
      </x:c>
      <x:c r="I277" t="str">
        <x:v>DOC-SIM-0004546</x:v>
      </x:c>
      <x:c r="J277" t="n">
        <x:v>6157.94</x:v>
      </x:c>
      <x:c r="K277" t="n">
        <x:v>0</x:v>
      </x:c>
      <x:c r="L277" t="n">
        <x:v>6157.94</x:v>
      </x:c>
      <x:c r="M277" t="str">
        <x:v>STATUS_INCONSISTENTE</x:v>
      </x:c>
      <x:c r="N277" t="str">
        <x:v>SIMULADO</x:v>
      </x:c>
    </x:row>
    <x:row r="278">
      <x:c r="A278" t="str">
        <x:v>DIRIGIDA_EXCECAO</x:v>
      </x:c>
      <x:c r="B278" t="str">
        <x:v>ATV-0004547</x:v>
      </x:c>
      <x:c r="C278" t="str">
        <x:v>Veículos e equipamentos móveis</x:v>
      </x:c>
      <x:c r="D278" t="str">
        <x:v>Operação logística</x:v>
      </x:c>
      <x:c r="E278" t="str">
        <x:v>2013-12-17</x:v>
      </x:c>
      <x:c r="F278" t="str">
        <x:v>2014-05-23</x:v>
      </x:c>
      <x:c r="G278" t="str">
        <x:v>INATIVO</x:v>
      </x:c>
      <x:c r="H278" t="str">
        <x:v>RESP-047</x:v>
      </x:c>
      <x:c r="I278" t="str">
        <x:v>DOC-SIM-0004547</x:v>
      </x:c>
      <x:c r="J278" t="n">
        <x:v>29498.14</x:v>
      </x:c>
      <x:c r="K278" t="n">
        <x:v>17930.24</x:v>
      </x:c>
      <x:c r="L278" t="n">
        <x:v>11567.9</x:v>
      </x:c>
      <x:c r="M278" t="str">
        <x:v>STATUS_INCONSISTENTE</x:v>
      </x:c>
      <x:c r="N278" t="str">
        <x:v>SIMULADO</x:v>
      </x:c>
    </x:row>
    <x:row r="279">
      <x:c r="A279" t="str">
        <x:v>DIRIGIDA_EXCECAO</x:v>
      </x:c>
      <x:c r="B279" t="str">
        <x:v>ATV-0004548</x:v>
      </x:c>
      <x:c r="C279" t="str">
        <x:v>Edificações</x:v>
      </x:c>
      <x:c r="D279" t="str">
        <x:v>Outras unidades</x:v>
      </x:c>
      <x:c r="E279" t="str">
        <x:v>2015-02-09</x:v>
      </x:c>
      <x:c r="F279" t="str">
        <x:v>2015-06-26</x:v>
      </x:c>
      <x:c r="G279" t="str">
        <x:v>INATIVO</x:v>
      </x:c>
      <x:c r="H279" t="str">
        <x:v>RESP-048</x:v>
      </x:c>
      <x:c r="I279" t="str">
        <x:v>DOC-SIM-0004548</x:v>
      </x:c>
      <x:c r="J279" t="n">
        <x:v>23268.95</x:v>
      </x:c>
      <x:c r="K279" t="n">
        <x:v>13653.68</x:v>
      </x:c>
      <x:c r="L279" t="n">
        <x:v>9615.27</x:v>
      </x:c>
      <x:c r="M279" t="str">
        <x:v>STATUS_INCONSISTENTE</x:v>
      </x:c>
      <x:c r="N279" t="str">
        <x:v>SIMULADO</x:v>
      </x:c>
    </x:row>
    <x:row r="280">
      <x:c r="A280" t="str">
        <x:v>DIRIGIDA_EXCECAO</x:v>
      </x:c>
      <x:c r="B280" t="str">
        <x:v>ATV-0004549</x:v>
      </x:c>
      <x:c r="C280" t="str">
        <x:v>Infraestrutura de mina</x:v>
      </x:c>
      <x:c r="D280" t="str">
        <x:v>Congonhas/MG</x:v>
      </x:c>
      <x:c r="E280" t="str">
        <x:v>2020-12-04</x:v>
      </x:c>
      <x:c r="F280" t="str">
        <x:v>2021-03-12</x:v>
      </x:c>
      <x:c r="G280" t="str">
        <x:v>INATIVO</x:v>
      </x:c>
      <x:c r="H280" t="str">
        <x:v>RESP-049</x:v>
      </x:c>
      <x:c r="I280" t="str">
        <x:v>DOC-SIM-0004549</x:v>
      </x:c>
      <x:c r="J280" t="n">
        <x:v>56619.12</x:v>
      </x:c>
      <x:c r="K280" t="n">
        <x:v>34240.02</x:v>
      </x:c>
      <x:c r="L280" t="n">
        <x:v>22379.1</x:v>
      </x:c>
      <x:c r="M280" t="str">
        <x:v>STATUS_INCONSISTENTE</x:v>
      </x:c>
      <x:c r="N280" t="str">
        <x:v>SIMULADO</x:v>
      </x:c>
    </x:row>
    <x:row r="281">
      <x:c r="A281" t="str">
        <x:v>DIRIGIDA_EXCECAO</x:v>
      </x:c>
      <x:c r="B281" t="str">
        <x:v>ATV-0004550</x:v>
      </x:c>
      <x:c r="C281" t="str">
        <x:v>Direito de uso</x:v>
      </x:c>
      <x:c r="D281" t="str">
        <x:v>Arcos/MG</x:v>
      </x:c>
      <x:c r="E281" t="str">
        <x:v>2024-04-04</x:v>
      </x:c>
      <x:c r="F281" t="str">
        <x:v>2024-05-11</x:v>
      </x:c>
      <x:c r="G281" t="str">
        <x:v>INATIVO</x:v>
      </x:c>
      <x:c r="H281" t="str">
        <x:v>RESP-050</x:v>
      </x:c>
      <x:c r="I281" t="str">
        <x:v>DOC-SIM-0004550</x:v>
      </x:c>
      <x:c r="J281" t="n">
        <x:v>5345.8</x:v>
      </x:c>
      <x:c r="K281" t="n">
        <x:v>2105.92</x:v>
      </x:c>
      <x:c r="L281" t="n">
        <x:v>3239.88</x:v>
      </x:c>
      <x:c r="M281" t="str">
        <x:v>STATUS_INCONSISTENTE</x:v>
      </x:c>
      <x:c r="N281" t="str">
        <x:v>SIMULADO</x:v>
      </x:c>
    </x:row>
    <x:row r="282">
      <x:c r="A282" t="str">
        <x:v>ALEATORIA</x:v>
      </x:c>
      <x:c r="B282" t="str">
        <x:v>ATV-0002069</x:v>
      </x:c>
      <x:c r="C282" t="str">
        <x:v>Veículos e equipamentos móveis</x:v>
      </x:c>
      <x:c r="D282" t="str">
        <x:v>Congonhas/MG</x:v>
      </x:c>
      <x:c r="E282" t="str">
        <x:v>2024-10-18</x:v>
      </x:c>
      <x:c r="F282" t="str">
        <x:v>2025-01-03</x:v>
      </x:c>
      <x:c r="G282" t="str">
        <x:v>ATIVO</x:v>
      </x:c>
      <x:c r="H282" t="str">
        <x:v>RESP-069</x:v>
      </x:c>
      <x:c r="I282" t="str">
        <x:v>DOC-SIM-0002069</x:v>
      </x:c>
      <x:c r="J282" t="n">
        <x:v>16890.33</x:v>
      </x:c>
      <x:c r="K282" t="n">
        <x:v>8183.97</x:v>
      </x:c>
      <x:c r="L282" t="n">
        <x:v>8706.36</x:v>
      </x:c>
      <x:c r="M282" t="str"/>
      <x:c r="N282" t="str">
        <x:v>SIMULADO</x:v>
      </x:c>
    </x:row>
    <x:row r="283">
      <x:c r="A283" t="str">
        <x:v>ALEATORIA</x:v>
      </x:c>
      <x:c r="B283" t="str">
        <x:v>ATV-0004693</x:v>
      </x:c>
      <x:c r="C283" t="str">
        <x:v>Obras em andamento</x:v>
      </x:c>
      <x:c r="D283" t="str">
        <x:v>Congonhas/MG</x:v>
      </x:c>
      <x:c r="E283" t="str">
        <x:v>2018-12-02</x:v>
      </x:c>
      <x:c r="F283" t="str">
        <x:v>2019-03-23</x:v>
      </x:c>
      <x:c r="G283" t="str">
        <x:v>ATIVO</x:v>
      </x:c>
      <x:c r="H283" t="str">
        <x:v>RESP-068</x:v>
      </x:c>
      <x:c r="I283" t="str">
        <x:v>DOC-SIM-0004693</x:v>
      </x:c>
      <x:c r="J283" t="n">
        <x:v>39717.9</x:v>
      </x:c>
      <x:c r="K283" t="n">
        <x:v>0</x:v>
      </x:c>
      <x:c r="L283" t="n">
        <x:v>39717.9</x:v>
      </x:c>
      <x:c r="M283" t="str"/>
      <x:c r="N283" t="str">
        <x:v>SIMULADO</x:v>
      </x:c>
    </x:row>
    <x:row r="284">
      <x:c r="A284" t="str">
        <x:v>ALEATORIA</x:v>
      </x:c>
      <x:c r="B284" t="str">
        <x:v>ATV-0007362</x:v>
      </x:c>
      <x:c r="C284" t="str">
        <x:v>Edificações</x:v>
      </x:c>
      <x:c r="D284" t="str">
        <x:v>Arcos/MG</x:v>
      </x:c>
      <x:c r="E284" t="str">
        <x:v>2014-10-10</x:v>
      </x:c>
      <x:c r="F284" t="str">
        <x:v>2015-03-02</x:v>
      </x:c>
      <x:c r="G284" t="str">
        <x:v>ATIVO</x:v>
      </x:c>
      <x:c r="H284" t="str">
        <x:v>RESP-112</x:v>
      </x:c>
      <x:c r="I284" t="str">
        <x:v>DOC-SIM-0007362</x:v>
      </x:c>
      <x:c r="J284" t="n">
        <x:v>36247.09</x:v>
      </x:c>
      <x:c r="K284" t="n">
        <x:v>18986.57</x:v>
      </x:c>
      <x:c r="L284" t="n">
        <x:v>17260.52</x:v>
      </x:c>
      <x:c r="M284" t="str"/>
      <x:c r="N284" t="str">
        <x:v>SIMULADO</x:v>
      </x:c>
    </x:row>
    <x:row r="285">
      <x:c r="A285" t="str">
        <x:v>ALEATORIA</x:v>
      </x:c>
      <x:c r="B285" t="str">
        <x:v>ATV-0014266</x:v>
      </x:c>
      <x:c r="C285" t="str">
        <x:v>Direito de uso</x:v>
      </x:c>
      <x:c r="D285" t="str">
        <x:v>Arcos/MG</x:v>
      </x:c>
      <x:c r="E285" t="str">
        <x:v>2015-02-23</x:v>
      </x:c>
      <x:c r="F285" t="str">
        <x:v>2015-08-01</x:v>
      </x:c>
      <x:c r="G285" t="str">
        <x:v>ATIVO</x:v>
      </x:c>
      <x:c r="H285" t="str">
        <x:v>RESP-016</x:v>
      </x:c>
      <x:c r="I285" t="str">
        <x:v>DOC-SIM-0014266</x:v>
      </x:c>
      <x:c r="J285" t="n">
        <x:v>19532.86</x:v>
      </x:c>
      <x:c r="K285" t="n">
        <x:v>11113.52</x:v>
      </x:c>
      <x:c r="L285" t="n">
        <x:v>8419.34</x:v>
      </x:c>
      <x:c r="M285" t="str"/>
      <x:c r="N285" t="str">
        <x:v>SIMULADO</x:v>
      </x:c>
    </x:row>
    <x:row r="286">
      <x:c r="A286" t="str">
        <x:v>ALEATORIA</x:v>
      </x:c>
      <x:c r="B286" t="str">
        <x:v>ATV-0017591</x:v>
      </x:c>
      <x:c r="C286" t="str">
        <x:v>Direito de uso</x:v>
      </x:c>
      <x:c r="D286" t="str">
        <x:v>Operação logística</x:v>
      </x:c>
      <x:c r="E286" t="str">
        <x:v>2023-08-30</x:v>
      </x:c>
      <x:c r="F286" t="str">
        <x:v>2024-02-26</x:v>
      </x:c>
      <x:c r="G286" t="str">
        <x:v>ATIVO</x:v>
      </x:c>
      <x:c r="H286" t="str">
        <x:v>RESP-091</x:v>
      </x:c>
      <x:c r="I286" t="str">
        <x:v>DOC-SIM-0017591</x:v>
      </x:c>
      <x:c r="J286" t="n">
        <x:v>60585.77</x:v>
      </x:c>
      <x:c r="K286" t="n">
        <x:v>28186.96</x:v>
      </x:c>
      <x:c r="L286" t="n">
        <x:v>32398.81</x:v>
      </x:c>
      <x:c r="M286" t="str"/>
      <x:c r="N286" t="str">
        <x:v>SIMULADO</x:v>
      </x:c>
    </x:row>
    <x:row r="287">
      <x:c r="A287" t="str">
        <x:v>ALEATORIA</x:v>
      </x:c>
      <x:c r="B287" t="str">
        <x:v>ATV-0019881</x:v>
      </x:c>
      <x:c r="C287" t="str">
        <x:v>Máquinas e equipamentos</x:v>
      </x:c>
      <x:c r="D287" t="str">
        <x:v>Congonhas/MG</x:v>
      </x:c>
      <x:c r="E287" t="str">
        <x:v>2013-07-02</x:v>
      </x:c>
      <x:c r="F287" t="str">
        <x:v>2013-07-08</x:v>
      </x:c>
      <x:c r="G287" t="str">
        <x:v>ATIVO</x:v>
      </x:c>
      <x:c r="H287" t="str">
        <x:v>RESP-006</x:v>
      </x:c>
      <x:c r="I287" t="str">
        <x:v>DOC-SIM-0019881</x:v>
      </x:c>
      <x:c r="J287" t="n">
        <x:v>14758.98</x:v>
      </x:c>
      <x:c r="K287" t="n">
        <x:v>1812.5</x:v>
      </x:c>
      <x:c r="L287" t="n">
        <x:v>12946.48</x:v>
      </x:c>
      <x:c r="M287" t="str"/>
      <x:c r="N287" t="str">
        <x:v>SIMULADO</x:v>
      </x:c>
    </x:row>
    <x:row r="288">
      <x:c r="A288" t="str">
        <x:v>ALEATORIA</x:v>
      </x:c>
      <x:c r="B288" t="str">
        <x:v>ATV-0023521</x:v>
      </x:c>
      <x:c r="C288" t="str">
        <x:v>Máquinas e equipamentos</x:v>
      </x:c>
      <x:c r="D288" t="str">
        <x:v>Congonhas/MG</x:v>
      </x:c>
      <x:c r="E288" t="str">
        <x:v>2017-11-08</x:v>
      </x:c>
      <x:c r="F288" t="str">
        <x:v>2018-02-23</x:v>
      </x:c>
      <x:c r="G288" t="str">
        <x:v>ATIVO</x:v>
      </x:c>
      <x:c r="H288" t="str">
        <x:v>RESP-021</x:v>
      </x:c>
      <x:c r="I288" t="str">
        <x:v>DOC-SIM-0023521</x:v>
      </x:c>
      <x:c r="J288" t="n">
        <x:v>45188.52</x:v>
      </x:c>
      <x:c r="K288" t="n">
        <x:v>11715.54</x:v>
      </x:c>
      <x:c r="L288" t="n">
        <x:v>33472.98</x:v>
      </x:c>
      <x:c r="M288" t="str"/>
      <x:c r="N288" t="str">
        <x:v>SIMULADO</x:v>
      </x:c>
    </x:row>
    <x:row r="289">
      <x:c r="A289" t="str">
        <x:v>ALEATORIA</x:v>
      </x:c>
      <x:c r="B289" t="str">
        <x:v>ATV-0024086</x:v>
      </x:c>
      <x:c r="C289" t="str">
        <x:v>Infraestrutura de mina</x:v>
      </x:c>
      <x:c r="D289" t="str">
        <x:v>Arcos/MG</x:v>
      </x:c>
      <x:c r="E289" t="str">
        <x:v>2024-08-25</x:v>
      </x:c>
      <x:c r="F289" t="str">
        <x:v>2024-11-23</x:v>
      </x:c>
      <x:c r="G289" t="str">
        <x:v>ATIVO</x:v>
      </x:c>
      <x:c r="H289" t="str">
        <x:v>RESP-086</x:v>
      </x:c>
      <x:c r="I289" t="str">
        <x:v>DOC-SIM-0024086</x:v>
      </x:c>
      <x:c r="J289" t="n">
        <x:v>19354.9</x:v>
      </x:c>
      <x:c r="K289" t="n">
        <x:v>7969.66</x:v>
      </x:c>
      <x:c r="L289" t="n">
        <x:v>11385.24</x:v>
      </x:c>
      <x:c r="M289" t="str"/>
      <x:c r="N289" t="str">
        <x:v>SIMULADO</x:v>
      </x:c>
    </x:row>
    <x:row r="290">
      <x:c r="A290" t="str">
        <x:v>ALEATORIA</x:v>
      </x:c>
      <x:c r="B290" t="str">
        <x:v>ATV-0032120</x:v>
      </x:c>
      <x:c r="C290" t="str">
        <x:v>Veículos e equipamentos móveis</x:v>
      </x:c>
      <x:c r="D290" t="str">
        <x:v>Outras unidades</x:v>
      </x:c>
      <x:c r="E290" t="str">
        <x:v>2013-06-23</x:v>
      </x:c>
      <x:c r="F290" t="str">
        <x:v>2013-12-19</x:v>
      </x:c>
      <x:c r="G290" t="str">
        <x:v>ATIVO</x:v>
      </x:c>
      <x:c r="H290" t="str">
        <x:v>RESP-120</x:v>
      </x:c>
      <x:c r="I290" t="str">
        <x:v>DOC-SIM-0032120</x:v>
      </x:c>
      <x:c r="J290" t="n">
        <x:v>43619.8</x:v>
      </x:c>
      <x:c r="K290" t="n">
        <x:v>19783.84</x:v>
      </x:c>
      <x:c r="L290" t="n">
        <x:v>23835.96</x:v>
      </x:c>
      <x:c r="M290" t="str"/>
      <x:c r="N290" t="str">
        <x:v>SIMULADO</x:v>
      </x:c>
    </x:row>
    <x:row r="291">
      <x:c r="A291" t="str">
        <x:v>ALEATORIA</x:v>
      </x:c>
      <x:c r="B291" t="str">
        <x:v>ATV-0037560</x:v>
      </x:c>
      <x:c r="C291" t="str">
        <x:v>Edificações</x:v>
      </x:c>
      <x:c r="D291" t="str">
        <x:v>Outras unidades</x:v>
      </x:c>
      <x:c r="E291" t="str">
        <x:v>2012-03-27</x:v>
      </x:c>
      <x:c r="F291" t="str">
        <x:v>2012-04-20</x:v>
      </x:c>
      <x:c r="G291" t="str">
        <x:v>ATIVO</x:v>
      </x:c>
      <x:c r="H291" t="str">
        <x:v>RESP-060</x:v>
      </x:c>
      <x:c r="I291" t="str">
        <x:v>DOC-SIM-0037560</x:v>
      </x:c>
      <x:c r="J291" t="n">
        <x:v>24340.49</x:v>
      </x:c>
      <x:c r="K291" t="n">
        <x:v>12694.32</x:v>
      </x:c>
      <x:c r="L291" t="n">
        <x:v>11646.17</x:v>
      </x:c>
      <x:c r="M291" t="str"/>
      <x:c r="N291" t="str">
        <x:v>SIMULADO</x:v>
      </x:c>
    </x:row>
    <x:row r="292">
      <x:c r="A292" t="str">
        <x:v>ALEATORIA</x:v>
      </x:c>
      <x:c r="B292" t="str">
        <x:v>ATV-0037983</x:v>
      </x:c>
      <x:c r="C292" t="str">
        <x:v>Máquinas e equipamentos</x:v>
      </x:c>
      <x:c r="D292" t="str">
        <x:v>Operação logística</x:v>
      </x:c>
      <x:c r="E292" t="str">
        <x:v>2023-11-27</x:v>
      </x:c>
      <x:c r="F292" t="str">
        <x:v>2023-12-21</x:v>
      </x:c>
      <x:c r="G292" t="str">
        <x:v>ATIVO</x:v>
      </x:c>
      <x:c r="H292" t="str">
        <x:v>RESP-108</x:v>
      </x:c>
      <x:c r="I292" t="str">
        <x:v>DOC-SIM-0037983</x:v>
      </x:c>
      <x:c r="J292" t="n">
        <x:v>28653.4</x:v>
      </x:c>
      <x:c r="K292" t="n">
        <x:v>17372.53</x:v>
      </x:c>
      <x:c r="L292" t="n">
        <x:v>11280.87</x:v>
      </x:c>
      <x:c r="M292" t="str"/>
      <x:c r="N292" t="str">
        <x:v>SIMULADO</x:v>
      </x:c>
    </x:row>
    <x:row r="293">
      <x:c r="A293" t="str">
        <x:v>ALEATORIA</x:v>
      </x:c>
      <x:c r="B293" t="str">
        <x:v>ATV-0039222</x:v>
      </x:c>
      <x:c r="C293" t="str">
        <x:v>Máquinas e equipamentos</x:v>
      </x:c>
      <x:c r="D293" t="str">
        <x:v>Arcos/MG</x:v>
      </x:c>
      <x:c r="E293" t="str">
        <x:v>2018-01-09</x:v>
      </x:c>
      <x:c r="F293" t="str">
        <x:v>2018-03-23</x:v>
      </x:c>
      <x:c r="G293" t="str">
        <x:v>ATIVO</x:v>
      </x:c>
      <x:c r="H293" t="str">
        <x:v>RESP-097</x:v>
      </x:c>
      <x:c r="I293" t="str">
        <x:v>DOC-SIM-0039222</x:v>
      </x:c>
      <x:c r="J293" t="n">
        <x:v>52178.35</x:v>
      </x:c>
      <x:c r="K293" t="n">
        <x:v>10099.03</x:v>
      </x:c>
      <x:c r="L293" t="n">
        <x:v>42079.32</x:v>
      </x:c>
      <x:c r="M293" t="str"/>
      <x:c r="N293" t="str">
        <x:v>SIMULADO</x:v>
      </x:c>
    </x:row>
    <x:row r="294">
      <x:c r="A294" t="str">
        <x:v>ALEATORIA</x:v>
      </x:c>
      <x:c r="B294" t="str">
        <x:v>ATV-0039645</x:v>
      </x:c>
      <x:c r="C294" t="str">
        <x:v>Veículos e equipamentos móveis</x:v>
      </x:c>
      <x:c r="D294" t="str">
        <x:v>Congonhas/MG</x:v>
      </x:c>
      <x:c r="E294" t="str">
        <x:v>2023-02-17</x:v>
      </x:c>
      <x:c r="F294" t="str">
        <x:v>2023-08-06</x:v>
      </x:c>
      <x:c r="G294" t="str">
        <x:v>ATIVO</x:v>
      </x:c>
      <x:c r="H294" t="str">
        <x:v>RESP-020</x:v>
      </x:c>
      <x:c r="I294" t="str">
        <x:v>DOC-SIM-0039645</x:v>
      </x:c>
      <x:c r="J294" t="n">
        <x:v>55874.9</x:v>
      </x:c>
      <x:c r="K294" t="n">
        <x:v>25672.25</x:v>
      </x:c>
      <x:c r="L294" t="n">
        <x:v>30202.65</x:v>
      </x:c>
      <x:c r="M294" t="str"/>
      <x:c r="N294" t="str">
        <x:v>SIMULADO</x:v>
      </x:c>
    </x:row>
    <x:row r="295">
      <x:c r="A295" t="str">
        <x:v>ALEATORIA</x:v>
      </x:c>
      <x:c r="B295" t="str">
        <x:v>ATV-0053893</x:v>
      </x:c>
      <x:c r="C295" t="str">
        <x:v>Direito de uso</x:v>
      </x:c>
      <x:c r="D295" t="str">
        <x:v>Congonhas/MG</x:v>
      </x:c>
      <x:c r="E295" t="str">
        <x:v>2013-07-01</x:v>
      </x:c>
      <x:c r="F295" t="str">
        <x:v>2013-10-20</x:v>
      </x:c>
      <x:c r="G295" t="str">
        <x:v>ATIVO</x:v>
      </x:c>
      <x:c r="H295" t="str">
        <x:v>RESP-018</x:v>
      </x:c>
      <x:c r="I295" t="str">
        <x:v>DOC-SIM-0053893</x:v>
      </x:c>
      <x:c r="J295" t="n">
        <x:v>50411.41</x:v>
      </x:c>
      <x:c r="K295" t="n">
        <x:v>11332.79</x:v>
      </x:c>
      <x:c r="L295" t="n">
        <x:v>39078.62</x:v>
      </x:c>
      <x:c r="M295" t="str"/>
      <x:c r="N295" t="str">
        <x:v>SIMULADO</x:v>
      </x:c>
    </x:row>
    <x:row r="296">
      <x:c r="A296" t="str">
        <x:v>ALEATORIA</x:v>
      </x:c>
      <x:c r="B296" t="str">
        <x:v>ATV-0054976</x:v>
      </x:c>
      <x:c r="C296" t="str">
        <x:v>Edificações</x:v>
      </x:c>
      <x:c r="D296" t="str">
        <x:v>Outras unidades</x:v>
      </x:c>
      <x:c r="E296" t="str">
        <x:v>2013-04-29</x:v>
      </x:c>
      <x:c r="F296" t="str">
        <x:v>2013-08-01</x:v>
      </x:c>
      <x:c r="G296" t="str">
        <x:v>ATIVO</x:v>
      </x:c>
      <x:c r="H296" t="str">
        <x:v>RESP-101</x:v>
      </x:c>
      <x:c r="I296" t="str">
        <x:v>DOC-SIM-0054976</x:v>
      </x:c>
      <x:c r="J296" t="n">
        <x:v>53066.9</x:v>
      </x:c>
      <x:c r="K296" t="n">
        <x:v>29791.94</x:v>
      </x:c>
      <x:c r="L296" t="n">
        <x:v>23274.96</x:v>
      </x:c>
      <x:c r="M296" t="str"/>
      <x:c r="N296" t="str">
        <x:v>SIMULADO</x:v>
      </x:c>
    </x:row>
    <x:row r="297">
      <x:c r="A297" t="str">
        <x:v>ALEATORIA</x:v>
      </x:c>
      <x:c r="B297" t="str">
        <x:v>ATV-0056780</x:v>
      </x:c>
      <x:c r="C297" t="str">
        <x:v>Obras em andamento</x:v>
      </x:c>
      <x:c r="D297" t="str">
        <x:v>Outras unidades</x:v>
      </x:c>
      <x:c r="E297" t="str">
        <x:v>2025-05-04</x:v>
      </x:c>
      <x:c r="F297" t="str">
        <x:v>2025-08-10</x:v>
      </x:c>
      <x:c r="G297" t="str">
        <x:v>ATIVO</x:v>
      </x:c>
      <x:c r="H297" t="str">
        <x:v>RESP-030</x:v>
      </x:c>
      <x:c r="I297" t="str">
        <x:v>DOC-SIM-0056780</x:v>
      </x:c>
      <x:c r="J297" t="n">
        <x:v>4157.48</x:v>
      </x:c>
      <x:c r="K297" t="n">
        <x:v>0</x:v>
      </x:c>
      <x:c r="L297" t="n">
        <x:v>4157.48</x:v>
      </x:c>
      <x:c r="M297" t="str"/>
      <x:c r="N297" t="str">
        <x:v>SIMULADO</x:v>
      </x:c>
    </x:row>
    <x:row r="298">
      <x:c r="A298" t="str">
        <x:v>ALEATORIA</x:v>
      </x:c>
      <x:c r="B298" t="str">
        <x:v>ATV-0057040</x:v>
      </x:c>
      <x:c r="C298" t="str">
        <x:v>Veículos e equipamentos móveis</x:v>
      </x:c>
      <x:c r="D298" t="str">
        <x:v>Outras unidades</x:v>
      </x:c>
      <x:c r="E298" t="str">
        <x:v>2016-03-16</x:v>
      </x:c>
      <x:c r="F298" t="str">
        <x:v>2016-08-01</x:v>
      </x:c>
      <x:c r="G298" t="str">
        <x:v>ATIVO</x:v>
      </x:c>
      <x:c r="H298" t="str">
        <x:v>RESP-040</x:v>
      </x:c>
      <x:c r="I298" t="str">
        <x:v>DOC-SIM-0057040</x:v>
      </x:c>
      <x:c r="J298" t="n">
        <x:v>37986.54</x:v>
      </x:c>
      <x:c r="K298" t="n">
        <x:v>4069.98</x:v>
      </x:c>
      <x:c r="L298" t="n">
        <x:v>33916.56</x:v>
      </x:c>
      <x:c r="M298" t="str"/>
      <x:c r="N298" t="str">
        <x:v>SIMULADO</x:v>
      </x:c>
    </x:row>
    <x:row r="299">
      <x:c r="A299" t="str">
        <x:v>ALEATORIA</x:v>
      </x:c>
      <x:c r="B299" t="str">
        <x:v>ATV-0058419</x:v>
      </x:c>
      <x:c r="C299" t="str">
        <x:v>Veículos e equipamentos móveis</x:v>
      </x:c>
      <x:c r="D299" t="str">
        <x:v>Operação logística</x:v>
      </x:c>
      <x:c r="E299" t="str">
        <x:v>2012-03-18</x:v>
      </x:c>
      <x:c r="F299" t="str">
        <x:v>2012-04-26</x:v>
      </x:c>
      <x:c r="G299" t="str">
        <x:v>ATIVO</x:v>
      </x:c>
      <x:c r="H299" t="str">
        <x:v>RESP-044</x:v>
      </x:c>
      <x:c r="I299" t="str">
        <x:v>DOC-SIM-0058419</x:v>
      </x:c>
      <x:c r="J299" t="n">
        <x:v>34957.83</x:v>
      </x:c>
      <x:c r="K299" t="n">
        <x:v>20571.89</x:v>
      </x:c>
      <x:c r="L299" t="n">
        <x:v>14385.94</x:v>
      </x:c>
      <x:c r="M299" t="str"/>
      <x:c r="N299" t="str">
        <x:v>SIMULADO</x:v>
      </x:c>
    </x:row>
    <x:row r="300">
      <x:c r="A300" t="str">
        <x:v>ALEATORIA</x:v>
      </x:c>
      <x:c r="B300" t="str">
        <x:v>ATV-0069433</x:v>
      </x:c>
      <x:c r="C300" t="str">
        <x:v>Direito de uso</x:v>
      </x:c>
      <x:c r="D300" t="str">
        <x:v>Congonhas/MG</x:v>
      </x:c>
      <x:c r="E300" t="str">
        <x:v>2017-04-30</x:v>
      </x:c>
      <x:c r="F300" t="str">
        <x:v>2017-10-24</x:v>
      </x:c>
      <x:c r="G300" t="str">
        <x:v>ATIVO</x:v>
      </x:c>
      <x:c r="H300" t="str">
        <x:v>RESP-058</x:v>
      </x:c>
      <x:c r="I300" t="str">
        <x:v>DOC-SIM-0069433</x:v>
      </x:c>
      <x:c r="J300" t="n">
        <x:v>63806.22</x:v>
      </x:c>
      <x:c r="K300" t="n">
        <x:v>35943.24</x:v>
      </x:c>
      <x:c r="L300" t="n">
        <x:v>27862.98</x:v>
      </x:c>
      <x:c r="M300" t="str"/>
      <x:c r="N300" t="str">
        <x:v>SIMULADO</x:v>
      </x:c>
    </x:row>
    <x:row r="301">
      <x:c r="A301" t="str">
        <x:v>ALEATORIA</x:v>
      </x:c>
      <x:c r="B301" t="str">
        <x:v>ATV-0072123</x:v>
      </x:c>
      <x:c r="C301" t="str">
        <x:v>Instalações industriais</x:v>
      </x:c>
      <x:c r="D301" t="str">
        <x:v>Operação logística</x:v>
      </x:c>
      <x:c r="E301" t="str">
        <x:v>2022-03-10</x:v>
      </x:c>
      <x:c r="F301" t="str">
        <x:v>2022-08-25</x:v>
      </x:c>
      <x:c r="G301" t="str">
        <x:v>ATIVO</x:v>
      </x:c>
      <x:c r="H301" t="str">
        <x:v>RESP-123</x:v>
      </x:c>
      <x:c r="I301" t="str">
        <x:v>DOC-SIM-0072123</x:v>
      </x:c>
      <x:c r="J301" t="n">
        <x:v>15152.72</x:v>
      </x:c>
      <x:c r="K301" t="n">
        <x:v>4011.01</x:v>
      </x:c>
      <x:c r="L301" t="n">
        <x:v>11141.71</x:v>
      </x:c>
      <x:c r="M301" t="str"/>
      <x:c r="N301" t="str">
        <x:v>SIMULADO</x:v>
      </x:c>
    </x:row>
    <x:row r="302">
      <x:c r="A302" t="str">
        <x:v>ALEATORIA</x:v>
      </x:c>
      <x:c r="B302" t="str">
        <x:v>ATV-0073162</x:v>
      </x:c>
      <x:c r="C302" t="str">
        <x:v>Edificações</x:v>
      </x:c>
      <x:c r="D302" t="str">
        <x:v>Arcos/MG</x:v>
      </x:c>
      <x:c r="E302" t="str">
        <x:v>2025-06-10</x:v>
      </x:c>
      <x:c r="F302" t="str">
        <x:v>2025-12-05</x:v>
      </x:c>
      <x:c r="G302" t="str">
        <x:v>ATIVO</x:v>
      </x:c>
      <x:c r="H302" t="str">
        <x:v>RESP-037</x:v>
      </x:c>
      <x:c r="I302" t="str">
        <x:v>DOC-SIM-0073162</x:v>
      </x:c>
      <x:c r="J302" t="n">
        <x:v>25091.55</x:v>
      </x:c>
      <x:c r="K302" t="n">
        <x:v>11744.98</x:v>
      </x:c>
      <x:c r="L302" t="n">
        <x:v>13346.57</x:v>
      </x:c>
      <x:c r="M302" t="str"/>
      <x:c r="N302" t="str">
        <x:v>SIMULADO</x:v>
      </x:c>
    </x:row>
    <x:row r="303">
      <x:c r="A303" t="str">
        <x:v>ALEATORIA</x:v>
      </x:c>
      <x:c r="B303" t="str">
        <x:v>ATV-0073241</x:v>
      </x:c>
      <x:c r="C303" t="str">
        <x:v>Direito de uso</x:v>
      </x:c>
      <x:c r="D303" t="str">
        <x:v>Congonhas/MG</x:v>
      </x:c>
      <x:c r="E303" t="str">
        <x:v>2014-05-24</x:v>
      </x:c>
      <x:c r="F303" t="str">
        <x:v>2014-10-22</x:v>
      </x:c>
      <x:c r="G303" t="str">
        <x:v>ATIVO</x:v>
      </x:c>
      <x:c r="H303" t="str">
        <x:v>RESP-116</x:v>
      </x:c>
      <x:c r="I303" t="str">
        <x:v>DOC-SIM-0073241</x:v>
      </x:c>
      <x:c r="J303" t="n">
        <x:v>30773.44</x:v>
      </x:c>
      <x:c r="K303" t="n">
        <x:v>10660.08</x:v>
      </x:c>
      <x:c r="L303" t="n">
        <x:v>20113.36</x:v>
      </x:c>
      <x:c r="M303" t="str"/>
      <x:c r="N303" t="str">
        <x:v>SIMULADO</x:v>
      </x:c>
    </x:row>
    <x:row r="304">
      <x:c r="A304" t="str">
        <x:v>ALEATORIA</x:v>
      </x:c>
      <x:c r="B304" t="str">
        <x:v>ATV-0078746</x:v>
      </x:c>
      <x:c r="C304" t="str">
        <x:v>Obras em andamento</x:v>
      </x:c>
      <x:c r="D304" t="str">
        <x:v>Arcos/MG</x:v>
      </x:c>
      <x:c r="E304" t="str">
        <x:v>2021-09-01</x:v>
      </x:c>
      <x:c r="F304" t="str">
        <x:v>2021-11-06</x:v>
      </x:c>
      <x:c r="G304" t="str">
        <x:v>ATIVO</x:v>
      </x:c>
      <x:c r="H304" t="str">
        <x:v>RESP-121</x:v>
      </x:c>
      <x:c r="I304" t="str">
        <x:v>DOC-SIM-0078746</x:v>
      </x:c>
      <x:c r="J304" t="n">
        <x:v>19234.89</x:v>
      </x:c>
      <x:c r="K304" t="n">
        <x:v>0</x:v>
      </x:c>
      <x:c r="L304" t="n">
        <x:v>19234.89</x:v>
      </x:c>
      <x:c r="M304" t="str"/>
      <x:c r="N304" t="str">
        <x:v>SIMULADO</x:v>
      </x:c>
    </x:row>
    <x:row r="305">
      <x:c r="A305" t="str">
        <x:v>ALEATORIA</x:v>
      </x:c>
      <x:c r="B305" t="str">
        <x:v>ATV-0097697</x:v>
      </x:c>
      <x:c r="C305" t="str">
        <x:v>Edificações</x:v>
      </x:c>
      <x:c r="D305" t="str">
        <x:v>Congonhas/MG</x:v>
      </x:c>
      <x:c r="E305" t="str">
        <x:v>2014-05-21</x:v>
      </x:c>
      <x:c r="F305" t="str">
        <x:v>2014-06-26</x:v>
      </x:c>
      <x:c r="G305" t="str">
        <x:v>ATIVO</x:v>
      </x:c>
      <x:c r="H305" t="str">
        <x:v>RESP-072</x:v>
      </x:c>
      <x:c r="I305" t="str">
        <x:v>DOC-SIM-0097697</x:v>
      </x:c>
      <x:c r="J305" t="n">
        <x:v>1876.73</x:v>
      </x:c>
      <x:c r="K305" t="n">
        <x:v>506.85</x:v>
      </x:c>
      <x:c r="L305" t="n">
        <x:v>1369.88</x:v>
      </x:c>
      <x:c r="M305" t="str"/>
      <x:c r="N305" t="str">
        <x:v>SIMULADO</x:v>
      </x:c>
    </x:row>
    <x:row r="306">
      <x:c r="A306" t="str">
        <x:v>ALEATORIA</x:v>
      </x:c>
      <x:c r="B306" t="str">
        <x:v>ATV-0110231</x:v>
      </x:c>
      <x:c r="C306" t="str">
        <x:v>Instalações industriais</x:v>
      </x:c>
      <x:c r="D306" t="str">
        <x:v>Operação logística</x:v>
      </x:c>
      <x:c r="E306" t="str">
        <x:v>2018-08-01</x:v>
      </x:c>
      <x:c r="F306" t="str">
        <x:v>2018-09-09</x:v>
      </x:c>
      <x:c r="G306" t="str">
        <x:v>ATIVO</x:v>
      </x:c>
      <x:c r="H306" t="str">
        <x:v>RESP-106</x:v>
      </x:c>
      <x:c r="I306" t="str">
        <x:v>DOC-SIM-0110231</x:v>
      </x:c>
      <x:c r="J306" t="n">
        <x:v>56914.75</x:v>
      </x:c>
      <x:c r="K306" t="n">
        <x:v>17114.22</x:v>
      </x:c>
      <x:c r="L306" t="n">
        <x:v>39800.53</x:v>
      </x:c>
      <x:c r="M306" t="str"/>
      <x:c r="N306" t="str">
        <x:v>SIMULADO</x:v>
      </x:c>
    </x:row>
    <x:row r="307">
      <x:c r="A307" t="str">
        <x:v>ALEATORIA</x:v>
      </x:c>
      <x:c r="B307" t="str">
        <x:v>ATV-0110784</x:v>
      </x:c>
      <x:c r="C307" t="str">
        <x:v>Instalações industriais</x:v>
      </x:c>
      <x:c r="D307" t="str">
        <x:v>Outras unidades</x:v>
      </x:c>
      <x:c r="E307" t="str">
        <x:v>2012-07-30</x:v>
      </x:c>
      <x:c r="F307" t="str">
        <x:v>2012-08-18</x:v>
      </x:c>
      <x:c r="G307" t="str">
        <x:v>ATIVO</x:v>
      </x:c>
      <x:c r="H307" t="str">
        <x:v>RESP-034</x:v>
      </x:c>
      <x:c r="I307" t="str">
        <x:v>DOC-SIM-0110784</x:v>
      </x:c>
      <x:c r="J307" t="n">
        <x:v>5852.43</x:v>
      </x:c>
      <x:c r="K307" t="n">
        <x:v>2508.18</x:v>
      </x:c>
      <x:c r="L307" t="n">
        <x:v>3344.25</x:v>
      </x:c>
      <x:c r="M307" t="str"/>
      <x:c r="N307" t="str">
        <x:v>SIMULADO</x:v>
      </x:c>
    </x:row>
    <x:row r="308">
      <x:c r="A308" t="str">
        <x:v>ALEATORIA</x:v>
      </x:c>
      <x:c r="B308" t="str">
        <x:v>ATV-0118829</x:v>
      </x:c>
      <x:c r="C308" t="str">
        <x:v>Veículos e equipamentos móveis</x:v>
      </x:c>
      <x:c r="D308" t="str">
        <x:v>Congonhas/MG</x:v>
      </x:c>
      <x:c r="E308" t="str">
        <x:v>2021-07-15</x:v>
      </x:c>
      <x:c r="F308" t="str">
        <x:v>2021-08-27</x:v>
      </x:c>
      <x:c r="G308" t="str">
        <x:v>ATIVO</x:v>
      </x:c>
      <x:c r="H308" t="str">
        <x:v>RESP-079</x:v>
      </x:c>
      <x:c r="I308" t="str">
        <x:v>DOC-SIM-0118829</x:v>
      </x:c>
      <x:c r="J308" t="n">
        <x:v>55216</x:v>
      </x:c>
      <x:c r="K308" t="n">
        <x:v>24195.77</x:v>
      </x:c>
      <x:c r="L308" t="n">
        <x:v>31020.23</x:v>
      </x:c>
      <x:c r="M308" t="str"/>
      <x:c r="N308" t="str">
        <x:v>SIMULADO</x:v>
      </x:c>
    </x:row>
    <x:row r="309">
      <x:c r="A309" t="str">
        <x:v>ALEATORIA</x:v>
      </x:c>
      <x:c r="B309" t="str">
        <x:v>ATV-0123074</x:v>
      </x:c>
      <x:c r="C309" t="str">
        <x:v>Direito de uso</x:v>
      </x:c>
      <x:c r="D309" t="str">
        <x:v>Arcos/MG</x:v>
      </x:c>
      <x:c r="E309" t="str">
        <x:v>2022-01-17</x:v>
      </x:c>
      <x:c r="F309" t="str">
        <x:v>2022-06-28</x:v>
      </x:c>
      <x:c r="G309" t="str">
        <x:v>ATIVO</x:v>
      </x:c>
      <x:c r="H309" t="str">
        <x:v>RESP-074</x:v>
      </x:c>
      <x:c r="I309" t="str">
        <x:v>DOC-SIM-0123074</x:v>
      </x:c>
      <x:c r="J309" t="n">
        <x:v>40765.27</x:v>
      </x:c>
      <x:c r="K309" t="n">
        <x:v>10114.69</x:v>
      </x:c>
      <x:c r="L309" t="n">
        <x:v>30650.58</x:v>
      </x:c>
      <x:c r="M309" t="str"/>
      <x:c r="N309" t="str">
        <x:v>SIMULADO</x:v>
      </x:c>
    </x:row>
    <x:row r="310">
      <x:c r="A310" t="str">
        <x:v>ALEATORIA</x:v>
      </x:c>
      <x:c r="B310" t="str">
        <x:v>ATV-0125515</x:v>
      </x:c>
      <x:c r="C310" t="str">
        <x:v>Edificações</x:v>
      </x:c>
      <x:c r="D310" t="str">
        <x:v>Operação logística</x:v>
      </x:c>
      <x:c r="E310" t="str">
        <x:v>2014-12-29</x:v>
      </x:c>
      <x:c r="F310" t="str">
        <x:v>2015-06-11</x:v>
      </x:c>
      <x:c r="G310" t="str">
        <x:v>ATIVO</x:v>
      </x:c>
      <x:c r="H310" t="str">
        <x:v>RESP-015</x:v>
      </x:c>
      <x:c r="I310" t="str">
        <x:v>DOC-SIM-0125515</x:v>
      </x:c>
      <x:c r="J310" t="n">
        <x:v>51099.06</x:v>
      </x:c>
      <x:c r="K310" t="n">
        <x:v>8158.67</x:v>
      </x:c>
      <x:c r="L310" t="n">
        <x:v>42940.39</x:v>
      </x:c>
      <x:c r="M310" t="str"/>
      <x:c r="N310" t="str">
        <x:v>SIMULADO</x:v>
      </x:c>
    </x:row>
    <x:row r="311">
      <x:c r="A311" t="str">
        <x:v>ALEATORIA</x:v>
      </x:c>
      <x:c r="B311" t="str">
        <x:v>ATV-0126777</x:v>
      </x:c>
      <x:c r="C311" t="str">
        <x:v>Direito de uso</x:v>
      </x:c>
      <x:c r="D311" t="str">
        <x:v>Congonhas/MG</x:v>
      </x:c>
      <x:c r="E311" t="str">
        <x:v>2020-12-31</x:v>
      </x:c>
      <x:c r="F311" t="str">
        <x:v>2021-06-29</x:v>
      </x:c>
      <x:c r="G311" t="str">
        <x:v>ATIVO</x:v>
      </x:c>
      <x:c r="H311" t="str">
        <x:v>RESP-027</x:v>
      </x:c>
      <x:c r="I311" t="str">
        <x:v>DOC-SIM-0126777</x:v>
      </x:c>
      <x:c r="J311" t="n">
        <x:v>4259.89</x:v>
      </x:c>
      <x:c r="K311" t="n">
        <x:v>1150.48</x:v>
      </x:c>
      <x:c r="L311" t="n">
        <x:v>3109.41</x:v>
      </x:c>
      <x:c r="M311" t="str"/>
      <x:c r="N311" t="str">
        <x:v>SIMULADO</x:v>
      </x:c>
    </x:row>
    <x:row r="312">
      <x:c r="A312" t="str">
        <x:v>ALEATORIA</x:v>
      </x:c>
      <x:c r="B312" t="str">
        <x:v>ATV-0127280</x:v>
      </x:c>
      <x:c r="C312" t="str">
        <x:v>Infraestrutura de mina</x:v>
      </x:c>
      <x:c r="D312" t="str">
        <x:v>Outras unidades</x:v>
      </x:c>
      <x:c r="E312" t="str">
        <x:v>2023-04-16</x:v>
      </x:c>
      <x:c r="F312" t="str">
        <x:v>2023-07-15</x:v>
      </x:c>
      <x:c r="G312" t="str">
        <x:v>ATIVO</x:v>
      </x:c>
      <x:c r="H312" t="str">
        <x:v>RESP-030</x:v>
      </x:c>
      <x:c r="I312" t="str">
        <x:v>DOC-SIM-0127280</x:v>
      </x:c>
      <x:c r="J312" t="n">
        <x:v>4302.63</x:v>
      </x:c>
      <x:c r="K312" t="n">
        <x:v>2049.94</x:v>
      </x:c>
      <x:c r="L312" t="n">
        <x:v>2252.69</x:v>
      </x:c>
      <x:c r="M312" t="str"/>
      <x:c r="N312" t="str">
        <x:v>SIMULADO</x:v>
      </x:c>
    </x:row>
    <x:row r="313">
      <x:c r="A313" t="str">
        <x:v>ALEATORIA</x:v>
      </x:c>
      <x:c r="B313" t="str">
        <x:v>ATV-0129832</x:v>
      </x:c>
      <x:c r="C313" t="str">
        <x:v>Obras em andamento</x:v>
      </x:c>
      <x:c r="D313" t="str">
        <x:v>Outras unidades</x:v>
      </x:c>
      <x:c r="E313" t="str">
        <x:v>2025-02-04</x:v>
      </x:c>
      <x:c r="F313" t="str">
        <x:v>2025-02-19</x:v>
      </x:c>
      <x:c r="G313" t="str">
        <x:v>ATIVO</x:v>
      </x:c>
      <x:c r="H313" t="str">
        <x:v>RESP-082</x:v>
      </x:c>
      <x:c r="I313" t="str">
        <x:v>DOC-SIM-0129832</x:v>
      </x:c>
      <x:c r="J313" t="n">
        <x:v>6175.34</x:v>
      </x:c>
      <x:c r="K313" t="n">
        <x:v>0</x:v>
      </x:c>
      <x:c r="L313" t="n">
        <x:v>6175.34</x:v>
      </x:c>
      <x:c r="M313" t="str"/>
      <x:c r="N313" t="str">
        <x:v>SIMULADO</x:v>
      </x:c>
    </x:row>
    <x:row r="314">
      <x:c r="A314" t="str">
        <x:v>ALEATORIA</x:v>
      </x:c>
      <x:c r="B314" t="str">
        <x:v>ATV-0131617</x:v>
      </x:c>
      <x:c r="C314" t="str">
        <x:v>Obras em andamento</x:v>
      </x:c>
      <x:c r="D314" t="str">
        <x:v>Congonhas/MG</x:v>
      </x:c>
      <x:c r="E314" t="str">
        <x:v>2018-12-19</x:v>
      </x:c>
      <x:c r="F314" t="str">
        <x:v>2019-03-26</x:v>
      </x:c>
      <x:c r="G314" t="str">
        <x:v>ATIVO</x:v>
      </x:c>
      <x:c r="H314" t="str">
        <x:v>RESP-117</x:v>
      </x:c>
      <x:c r="I314" t="str">
        <x:v>DOC-SIM-0131617</x:v>
      </x:c>
      <x:c r="J314" t="n">
        <x:v>1652.55</x:v>
      </x:c>
      <x:c r="K314" t="n">
        <x:v>0</x:v>
      </x:c>
      <x:c r="L314" t="n">
        <x:v>1652.55</x:v>
      </x:c>
      <x:c r="M314" t="str"/>
      <x:c r="N314" t="str">
        <x:v>SIMULADO</x:v>
      </x:c>
    </x:row>
    <x:row r="315">
      <x:c r="A315" t="str">
        <x:v>ALEATORIA</x:v>
      </x:c>
      <x:c r="B315" t="str">
        <x:v>ATV-0132685</x:v>
      </x:c>
      <x:c r="C315" t="str">
        <x:v>Direito de uso</x:v>
      </x:c>
      <x:c r="D315" t="str">
        <x:v>Congonhas/MG</x:v>
      </x:c>
      <x:c r="E315" t="str">
        <x:v>2023-11-25</x:v>
      </x:c>
      <x:c r="F315" t="str">
        <x:v>2024-02-10</x:v>
      </x:c>
      <x:c r="G315" t="str">
        <x:v>ATIVO</x:v>
      </x:c>
      <x:c r="H315" t="str">
        <x:v>RESP-060</x:v>
      </x:c>
      <x:c r="I315" t="str">
        <x:v>DOC-SIM-0132685</x:v>
      </x:c>
      <x:c r="J315" t="n">
        <x:v>45573.5</x:v>
      </x:c>
      <x:c r="K315" t="n">
        <x:v>21202.64</x:v>
      </x:c>
      <x:c r="L315" t="n">
        <x:v>24370.86</x:v>
      </x:c>
      <x:c r="M315" t="str"/>
      <x:c r="N315" t="str">
        <x:v>SIMULADO</x:v>
      </x:c>
    </x:row>
    <x:row r="316">
      <x:c r="A316" t="str">
        <x:v>ALEATORIA</x:v>
      </x:c>
      <x:c r="B316" t="str">
        <x:v>ATV-0135631</x:v>
      </x:c>
      <x:c r="C316" t="str">
        <x:v>Infraestrutura de mina</x:v>
      </x:c>
      <x:c r="D316" t="str">
        <x:v>Operação logística</x:v>
      </x:c>
      <x:c r="E316" t="str">
        <x:v>2024-01-24</x:v>
      </x:c>
      <x:c r="F316" t="str">
        <x:v>2024-02-06</x:v>
      </x:c>
      <x:c r="G316" t="str">
        <x:v>ATIVO</x:v>
      </x:c>
      <x:c r="H316" t="str">
        <x:v>RESP-006</x:v>
      </x:c>
      <x:c r="I316" t="str">
        <x:v>DOC-SIM-0135631</x:v>
      </x:c>
      <x:c r="J316" t="n">
        <x:v>93001.55</x:v>
      </x:c>
      <x:c r="K316" t="n">
        <x:v>52566.09</x:v>
      </x:c>
      <x:c r="L316" t="n">
        <x:v>40435.46</x:v>
      </x:c>
      <x:c r="M316" t="str"/>
      <x:c r="N316" t="str">
        <x:v>SIMULADO</x:v>
      </x:c>
    </x:row>
    <x:row r="317">
      <x:c r="A317" t="str">
        <x:v>ALEATORIA</x:v>
      </x:c>
      <x:c r="B317" t="str">
        <x:v>ATV-0143708</x:v>
      </x:c>
      <x:c r="C317" t="str">
        <x:v>Edificações</x:v>
      </x:c>
      <x:c r="D317" t="str">
        <x:v>Outras unidades</x:v>
      </x:c>
      <x:c r="E317" t="str">
        <x:v>2012-06-02</x:v>
      </x:c>
      <x:c r="F317" t="str">
        <x:v>2012-10-20</x:v>
      </x:c>
      <x:c r="G317" t="str">
        <x:v>ATIVO</x:v>
      </x:c>
      <x:c r="H317" t="str">
        <x:v>RESP-083</x:v>
      </x:c>
      <x:c r="I317" t="str">
        <x:v>DOC-SIM-0143708</x:v>
      </x:c>
      <x:c r="J317" t="n">
        <x:v>37171.96</x:v>
      </x:c>
      <x:c r="K317" t="n">
        <x:v>20198.46</x:v>
      </x:c>
      <x:c r="L317" t="n">
        <x:v>16973.5</x:v>
      </x:c>
      <x:c r="M317" t="str"/>
      <x:c r="N317" t="str">
        <x:v>SIMULADO</x:v>
      </x:c>
    </x:row>
    <x:row r="318">
      <x:c r="A318" t="str">
        <x:v>ALEATORIA</x:v>
      </x:c>
      <x:c r="B318" t="str">
        <x:v>ATV-0151956</x:v>
      </x:c>
      <x:c r="C318" t="str">
        <x:v>Direito de uso</x:v>
      </x:c>
      <x:c r="D318" t="str">
        <x:v>Outras unidades</x:v>
      </x:c>
      <x:c r="E318" t="str">
        <x:v>2012-06-25</x:v>
      </x:c>
      <x:c r="F318" t="str">
        <x:v>2012-07-20</x:v>
      </x:c>
      <x:c r="G318" t="str">
        <x:v>ATIVO</x:v>
      </x:c>
      <x:c r="H318" t="str">
        <x:v>RESP-081</x:v>
      </x:c>
      <x:c r="I318" t="str">
        <x:v>DOC-SIM-0151956</x:v>
      </x:c>
      <x:c r="J318" t="n">
        <x:v>44168.91</x:v>
      </x:c>
      <x:c r="K318" t="n">
        <x:v>24538.28</x:v>
      </x:c>
      <x:c r="L318" t="n">
        <x:v>19630.63</x:v>
      </x:c>
      <x:c r="M318" t="str"/>
      <x:c r="N318" t="str">
        <x:v>SIMULADO</x:v>
      </x:c>
    </x:row>
    <x:row r="319">
      <x:c r="A319" t="str">
        <x:v>ALEATORIA</x:v>
      </x:c>
      <x:c r="B319" t="str">
        <x:v>ATV-0152038</x:v>
      </x:c>
      <x:c r="C319" t="str">
        <x:v>Edificações</x:v>
      </x:c>
      <x:c r="D319" t="str">
        <x:v>Arcos/MG</x:v>
      </x:c>
      <x:c r="E319" t="str">
        <x:v>2012-09-27</x:v>
      </x:c>
      <x:c r="F319" t="str">
        <x:v>2013-01-28</x:v>
      </x:c>
      <x:c r="G319" t="str">
        <x:v>ATIVO</x:v>
      </x:c>
      <x:c r="H319" t="str">
        <x:v>RESP-038</x:v>
      </x:c>
      <x:c r="I319" t="str">
        <x:v>DOC-SIM-0152038</x:v>
      </x:c>
      <x:c r="J319" t="n">
        <x:v>23673.08</x:v>
      </x:c>
      <x:c r="K319" t="n">
        <x:v>7995.54</x:v>
      </x:c>
      <x:c r="L319" t="n">
        <x:v>15677.54</x:v>
      </x:c>
      <x:c r="M319" t="str"/>
      <x:c r="N319" t="str">
        <x:v>SIMULADO</x:v>
      </x:c>
    </x:row>
    <x:row r="320">
      <x:c r="A320" t="str">
        <x:v>ALEATORIA</x:v>
      </x:c>
      <x:c r="B320" t="str">
        <x:v>ATV-0158870</x:v>
      </x:c>
      <x:c r="C320" t="str">
        <x:v>Edificações</x:v>
      </x:c>
      <x:c r="D320" t="str">
        <x:v>Arcos/MG</x:v>
      </x:c>
      <x:c r="E320" t="str">
        <x:v>2018-12-05</x:v>
      </x:c>
      <x:c r="F320" t="str">
        <x:v>2019-01-13</x:v>
      </x:c>
      <x:c r="G320" t="str">
        <x:v>ATIVO</x:v>
      </x:c>
      <x:c r="H320" t="str">
        <x:v>RESP-120</x:v>
      </x:c>
      <x:c r="I320" t="str">
        <x:v>DOC-SIM-0158870</x:v>
      </x:c>
      <x:c r="J320" t="n">
        <x:v>15249.61</x:v>
      </x:c>
      <x:c r="K320" t="n">
        <x:v>7508.69</x:v>
      </x:c>
      <x:c r="L320" t="n">
        <x:v>7740.92</x:v>
      </x:c>
      <x:c r="M320" t="str"/>
      <x:c r="N320" t="str">
        <x:v>SIMULADO</x:v>
      </x:c>
    </x:row>
    <x:row r="321">
      <x:c r="A321" t="str">
        <x:v>ALEATORIA</x:v>
      </x:c>
      <x:c r="B321" t="str">
        <x:v>ATV-0160437</x:v>
      </x:c>
      <x:c r="C321" t="str">
        <x:v>Veículos e equipamentos móveis</x:v>
      </x:c>
      <x:c r="D321" t="str">
        <x:v>Congonhas/MG</x:v>
      </x:c>
      <x:c r="E321" t="str">
        <x:v>2024-04-03</x:v>
      </x:c>
      <x:c r="F321" t="str">
        <x:v>2024-07-22</x:v>
      </x:c>
      <x:c r="G321" t="str">
        <x:v>ATIVO</x:v>
      </x:c>
      <x:c r="H321" t="str">
        <x:v>RESP-062</x:v>
      </x:c>
      <x:c r="I321" t="str">
        <x:v>DOC-SIM-0160437</x:v>
      </x:c>
      <x:c r="J321" t="n">
        <x:v>24885.27</x:v>
      </x:c>
      <x:c r="K321" t="n">
        <x:v>13417.4</x:v>
      </x:c>
      <x:c r="L321" t="n">
        <x:v>11467.87</x:v>
      </x:c>
      <x:c r="M321" t="str"/>
      <x:c r="N321" t="str">
        <x:v>SIMULADO</x:v>
      </x:c>
    </x:row>
    <x:row r="322">
      <x:c r="A322" t="str">
        <x:v>ALEATORIA</x:v>
      </x:c>
      <x:c r="B322" t="str">
        <x:v>ATV-0167221</x:v>
      </x:c>
      <x:c r="C322" t="str">
        <x:v>Edificações</x:v>
      </x:c>
      <x:c r="D322" t="str">
        <x:v>Congonhas/MG</x:v>
      </x:c>
      <x:c r="E322" t="str">
        <x:v>2021-05-28</x:v>
      </x:c>
      <x:c r="F322" t="str">
        <x:v>2021-07-18</x:v>
      </x:c>
      <x:c r="G322" t="str">
        <x:v>ATIVO</x:v>
      </x:c>
      <x:c r="H322" t="str">
        <x:v>RESP-096</x:v>
      </x:c>
      <x:c r="I322" t="str">
        <x:v>DOC-SIM-0167221</x:v>
      </x:c>
      <x:c r="J322" t="n">
        <x:v>1305.29</x:v>
      </x:c>
      <x:c r="K322" t="n">
        <x:v>405.09</x:v>
      </x:c>
      <x:c r="L322" t="n">
        <x:v>900.2</x:v>
      </x:c>
      <x:c r="M322" t="str"/>
      <x:c r="N322" t="str">
        <x:v>SIMULADO</x:v>
      </x:c>
    </x:row>
    <x:row r="323">
      <x:c r="A323" t="str">
        <x:v>ALEATORIA</x:v>
      </x:c>
      <x:c r="B323" t="str">
        <x:v>ATV-0171818</x:v>
      </x:c>
      <x:c r="C323" t="str">
        <x:v>Obras em andamento</x:v>
      </x:c>
      <x:c r="D323" t="str">
        <x:v>Arcos/MG</x:v>
      </x:c>
      <x:c r="E323" t="str">
        <x:v>2020-11-19</x:v>
      </x:c>
      <x:c r="F323" t="str">
        <x:v>2020-12-21</x:v>
      </x:c>
      <x:c r="G323" t="str">
        <x:v>ATIVO</x:v>
      </x:c>
      <x:c r="H323" t="str">
        <x:v>RESP-068</x:v>
      </x:c>
      <x:c r="I323" t="str">
        <x:v>DOC-SIM-0171818</x:v>
      </x:c>
      <x:c r="J323" t="n">
        <x:v>7114.69</x:v>
      </x:c>
      <x:c r="K323" t="n">
        <x:v>0</x:v>
      </x:c>
      <x:c r="L323" t="n">
        <x:v>7114.69</x:v>
      </x:c>
      <x:c r="M323" t="str"/>
      <x:c r="N323" t="str">
        <x:v>SIMULADO</x:v>
      </x:c>
    </x:row>
    <x:row r="324">
      <x:c r="A324" t="str">
        <x:v>ALEATORIA</x:v>
      </x:c>
      <x:c r="B324" t="str">
        <x:v>ATV-0173870</x:v>
      </x:c>
      <x:c r="C324" t="str">
        <x:v>Veículos e equipamentos móveis</x:v>
      </x:c>
      <x:c r="D324" t="str">
        <x:v>Arcos/MG</x:v>
      </x:c>
      <x:c r="E324" t="str">
        <x:v>2024-02-25</x:v>
      </x:c>
      <x:c r="F324" t="str">
        <x:v>2024-07-23</x:v>
      </x:c>
      <x:c r="G324" t="str">
        <x:v>ATIVO</x:v>
      </x:c>
      <x:c r="H324" t="str">
        <x:v>RESP-120</x:v>
      </x:c>
      <x:c r="I324" t="str">
        <x:v>DOC-SIM-0173870</x:v>
      </x:c>
      <x:c r="J324" t="n">
        <x:v>64956.27</x:v>
      </x:c>
      <x:c r="K324" t="n">
        <x:v>33727.29</x:v>
      </x:c>
      <x:c r="L324" t="n">
        <x:v>31228.98</x:v>
      </x:c>
      <x:c r="M324" t="str"/>
      <x:c r="N324" t="str">
        <x:v>SIMULADO</x:v>
      </x:c>
    </x:row>
    <x:row r="325">
      <x:c r="A325" t="str">
        <x:v>ALEATORIA</x:v>
      </x:c>
      <x:c r="B325" t="str">
        <x:v>ATV-0189135</x:v>
      </x:c>
      <x:c r="C325" t="str">
        <x:v>Instalações industriais</x:v>
      </x:c>
      <x:c r="D325" t="str">
        <x:v>Operação logística</x:v>
      </x:c>
      <x:c r="E325" t="str">
        <x:v>2013-07-16</x:v>
      </x:c>
      <x:c r="F325" t="str">
        <x:v>2013-11-02</x:v>
      </x:c>
      <x:c r="G325" t="str">
        <x:v>ATIVO</x:v>
      </x:c>
      <x:c r="H325" t="str">
        <x:v>RESP-010</x:v>
      </x:c>
      <x:c r="I325" t="str">
        <x:v>DOC-SIM-0189135</x:v>
      </x:c>
      <x:c r="J325" t="n">
        <x:v>16769.87</x:v>
      </x:c>
      <x:c r="K325" t="n">
        <x:v>8467.95</x:v>
      </x:c>
      <x:c r="L325" t="n">
        <x:v>8301.92</x:v>
      </x:c>
      <x:c r="M325" t="str"/>
      <x:c r="N325" t="str">
        <x:v>SIMULADO</x:v>
      </x:c>
    </x:row>
    <x:row r="326">
      <x:c r="A326" t="str">
        <x:v>ALEATORIA</x:v>
      </x:c>
      <x:c r="B326" t="str">
        <x:v>ATV-0192609</x:v>
      </x:c>
      <x:c r="C326" t="str">
        <x:v>Veículos e equipamentos móveis</x:v>
      </x:c>
      <x:c r="D326" t="str">
        <x:v>Congonhas/MG</x:v>
      </x:c>
      <x:c r="E326" t="str">
        <x:v>2020-07-03</x:v>
      </x:c>
      <x:c r="F326" t="str">
        <x:v>2020-07-03</x:v>
      </x:c>
      <x:c r="G326" t="str">
        <x:v>ATIVO</x:v>
      </x:c>
      <x:c r="H326" t="str">
        <x:v>RESP-109</x:v>
      </x:c>
      <x:c r="I326" t="str">
        <x:v>DOC-SIM-0192609</x:v>
      </x:c>
      <x:c r="J326" t="n">
        <x:v>10248.01</x:v>
      </x:c>
      <x:c r="K326" t="n">
        <x:v>3416</x:v>
      </x:c>
      <x:c r="L326" t="n">
        <x:v>6832.01</x:v>
      </x:c>
      <x:c r="M326" t="str"/>
      <x:c r="N326" t="str">
        <x:v>SIMULADO</x:v>
      </x:c>
    </x:row>
    <x:row r="327">
      <x:c r="A327" t="str">
        <x:v>ALEATORIA</x:v>
      </x:c>
      <x:c r="B327" t="str">
        <x:v>ATV-0196912</x:v>
      </x:c>
      <x:c r="C327" t="str">
        <x:v>Instalações industriais</x:v>
      </x:c>
      <x:c r="D327" t="str">
        <x:v>Outras unidades</x:v>
      </x:c>
      <x:c r="E327" t="str">
        <x:v>2014-07-09</x:v>
      </x:c>
      <x:c r="F327" t="str">
        <x:v>2014-08-04</x:v>
      </x:c>
      <x:c r="G327" t="str">
        <x:v>ATIVO</x:v>
      </x:c>
      <x:c r="H327" t="str">
        <x:v>RESP-037</x:v>
      </x:c>
      <x:c r="I327" t="str">
        <x:v>DOC-SIM-0196912</x:v>
      </x:c>
      <x:c r="J327" t="n">
        <x:v>65767.45</x:v>
      </x:c>
      <x:c r="K327" t="n">
        <x:v>40374.61</x:v>
      </x:c>
      <x:c r="L327" t="n">
        <x:v>25392.84</x:v>
      </x:c>
      <x:c r="M327" t="str"/>
      <x:c r="N327" t="str">
        <x:v>SIMULADO</x:v>
      </x:c>
    </x:row>
    <x:row r="328">
      <x:c r="A328" t="str">
        <x:v>ALEATORIA</x:v>
      </x:c>
      <x:c r="B328" t="str">
        <x:v>ATV-0198803</x:v>
      </x:c>
      <x:c r="C328" t="str">
        <x:v>Obras em andamento</x:v>
      </x:c>
      <x:c r="D328" t="str">
        <x:v>Operação logística</x:v>
      </x:c>
      <x:c r="E328" t="str">
        <x:v>2019-07-03</x:v>
      </x:c>
      <x:c r="F328" t="str">
        <x:v>2019-07-10</x:v>
      </x:c>
      <x:c r="G328" t="str">
        <x:v>ATIVO</x:v>
      </x:c>
      <x:c r="H328" t="str">
        <x:v>RESP-053</x:v>
      </x:c>
      <x:c r="I328" t="str">
        <x:v>DOC-SIM-0198803</x:v>
      </x:c>
      <x:c r="J328" t="n">
        <x:v>9841.41</x:v>
      </x:c>
      <x:c r="K328" t="n">
        <x:v>0</x:v>
      </x:c>
      <x:c r="L328" t="n">
        <x:v>9841.41</x:v>
      </x:c>
      <x:c r="M328" t="str"/>
      <x:c r="N328" t="str">
        <x:v>SIMULADO</x:v>
      </x:c>
    </x:row>
    <x:row r="329">
      <x:c r="A329" t="str">
        <x:v>ALEATORIA</x:v>
      </x:c>
      <x:c r="B329" t="str">
        <x:v>ATV-0199047</x:v>
      </x:c>
      <x:c r="C329" t="str">
        <x:v>Instalações industriais</x:v>
      </x:c>
      <x:c r="D329" t="str">
        <x:v>Operação logística</x:v>
      </x:c>
      <x:c r="E329" t="str">
        <x:v>2018-04-22</x:v>
      </x:c>
      <x:c r="F329" t="str">
        <x:v>2018-06-07</x:v>
      </x:c>
      <x:c r="G329" t="str">
        <x:v>ATIVO</x:v>
      </x:c>
      <x:c r="H329" t="str">
        <x:v>RESP-047</x:v>
      </x:c>
      <x:c r="I329" t="str">
        <x:v>DOC-SIM-0199047</x:v>
      </x:c>
      <x:c r="J329" t="n">
        <x:v>66360.77</x:v>
      </x:c>
      <x:c r="K329" t="n">
        <x:v>26860.31</x:v>
      </x:c>
      <x:c r="L329" t="n">
        <x:v>39500.46</x:v>
      </x:c>
      <x:c r="M329" t="str"/>
      <x:c r="N329" t="str">
        <x:v>SIMULADO</x:v>
      </x:c>
    </x:row>
    <x:row r="330">
      <x:c r="A330" t="str">
        <x:v>ALEATORIA</x:v>
      </x:c>
      <x:c r="B330" t="str">
        <x:v>ATV-0207829</x:v>
      </x:c>
      <x:c r="C330" t="str">
        <x:v>Infraestrutura de mina</x:v>
      </x:c>
      <x:c r="D330" t="str">
        <x:v>Congonhas/MG</x:v>
      </x:c>
      <x:c r="E330" t="str">
        <x:v>2021-09-05</x:v>
      </x:c>
      <x:c r="F330" t="str">
        <x:v>2022-01-27</x:v>
      </x:c>
      <x:c r="G330" t="str">
        <x:v>ATIVO</x:v>
      </x:c>
      <x:c r="H330" t="str">
        <x:v>RESP-079</x:v>
      </x:c>
      <x:c r="I330" t="str">
        <x:v>DOC-SIM-0207829</x:v>
      </x:c>
      <x:c r="J330" t="n">
        <x:v>31122.3</x:v>
      </x:c>
      <x:c r="K330" t="n">
        <x:v>10234.85</x:v>
      </x:c>
      <x:c r="L330" t="n">
        <x:v>20887.45</x:v>
      </x:c>
      <x:c r="M330" t="str"/>
      <x:c r="N330" t="str">
        <x:v>SIMULADO</x:v>
      </x:c>
    </x:row>
    <x:row r="331">
      <x:c r="A331" t="str">
        <x:v>ALEATORIA</x:v>
      </x:c>
      <x:c r="B331" t="str">
        <x:v>ATV-0213306</x:v>
      </x:c>
      <x:c r="C331" t="str">
        <x:v>Instalações industriais</x:v>
      </x:c>
      <x:c r="D331" t="str">
        <x:v>Arcos/MG</x:v>
      </x:c>
      <x:c r="E331" t="str">
        <x:v>2020-03-11</x:v>
      </x:c>
      <x:c r="F331" t="str">
        <x:v>2020-06-02</x:v>
      </x:c>
      <x:c r="G331" t="str">
        <x:v>ATIVO</x:v>
      </x:c>
      <x:c r="H331" t="str">
        <x:v>RESP-056</x:v>
      </x:c>
      <x:c r="I331" t="str">
        <x:v>DOC-SIM-0213306</x:v>
      </x:c>
      <x:c r="J331" t="n">
        <x:v>75068.95</x:v>
      </x:c>
      <x:c r="K331" t="n">
        <x:v>44048.72</x:v>
      </x:c>
      <x:c r="L331" t="n">
        <x:v>31020.23</x:v>
      </x:c>
      <x:c r="M331" t="str"/>
      <x:c r="N331" t="str">
        <x:v>SIMULADO</x:v>
      </x:c>
    </x:row>
    <x:row r="332">
      <x:c r="A332" t="str">
        <x:v>ALEATORIA</x:v>
      </x:c>
      <x:c r="B332" t="str">
        <x:v>ATV-0215002</x:v>
      </x:c>
      <x:c r="C332" t="str">
        <x:v>Veículos e equipamentos móveis</x:v>
      </x:c>
      <x:c r="D332" t="str">
        <x:v>Arcos/MG</x:v>
      </x:c>
      <x:c r="E332" t="str">
        <x:v>2016-01-13</x:v>
      </x:c>
      <x:c r="F332" t="str">
        <x:v>2016-02-26</x:v>
      </x:c>
      <x:c r="G332" t="str">
        <x:v>ATIVO</x:v>
      </x:c>
      <x:c r="H332" t="str">
        <x:v>RESP-002</x:v>
      </x:c>
      <x:c r="I332" t="str">
        <x:v>DOC-SIM-0215002</x:v>
      </x:c>
      <x:c r="J332" t="n">
        <x:v>8667.43</x:v>
      </x:c>
      <x:c r="K332" t="n">
        <x:v>1948.49</x:v>
      </x:c>
      <x:c r="L332" t="n">
        <x:v>6718.94</x:v>
      </x:c>
      <x:c r="M332" t="str"/>
      <x:c r="N332" t="str">
        <x:v>SIMULADO</x:v>
      </x:c>
    </x:row>
    <x:row r="333">
      <x:c r="A333" t="str">
        <x:v>ALEATORIA</x:v>
      </x:c>
      <x:c r="B333" t="str">
        <x:v>ATV-0217166</x:v>
      </x:c>
      <x:c r="C333" t="str">
        <x:v>Edificações</x:v>
      </x:c>
      <x:c r="D333" t="str">
        <x:v>Arcos/MG</x:v>
      </x:c>
      <x:c r="E333" t="str">
        <x:v>2022-11-10</x:v>
      </x:c>
      <x:c r="F333" t="str">
        <x:v>2023-01-15</x:v>
      </x:c>
      <x:c r="G333" t="str">
        <x:v>ATIVO</x:v>
      </x:c>
      <x:c r="H333" t="str">
        <x:v>RESP-041</x:v>
      </x:c>
      <x:c r="I333" t="str">
        <x:v>DOC-SIM-0217166</x:v>
      </x:c>
      <x:c r="J333" t="n">
        <x:v>17238.6</x:v>
      </x:c>
      <x:c r="K333" t="n">
        <x:v>4179.05</x:v>
      </x:c>
      <x:c r="L333" t="n">
        <x:v>13059.55</x:v>
      </x:c>
      <x:c r="M333" t="str"/>
      <x:c r="N333" t="str">
        <x:v>SIMULADO</x:v>
      </x:c>
    </x:row>
    <x:row r="334">
      <x:c r="A334" t="str">
        <x:v>ALEATORIA</x:v>
      </x:c>
      <x:c r="B334" t="str">
        <x:v>ATV-0218500</x:v>
      </x:c>
      <x:c r="C334" t="str">
        <x:v>Instalações industriais</x:v>
      </x:c>
      <x:c r="D334" t="str">
        <x:v>Outras unidades</x:v>
      </x:c>
      <x:c r="E334" t="str">
        <x:v>2015-12-07</x:v>
      </x:c>
      <x:c r="F334" t="str">
        <x:v>2016-01-10</x:v>
      </x:c>
      <x:c r="G334" t="str">
        <x:v>ATIVO</x:v>
      </x:c>
      <x:c r="H334" t="str">
        <x:v>RESP-125</x:v>
      </x:c>
      <x:c r="I334" t="str">
        <x:v>DOC-SIM-0218500</x:v>
      </x:c>
      <x:c r="J334" t="n">
        <x:v>11797.76</x:v>
      </x:c>
      <x:c r="K334" t="n">
        <x:v>4330.82</x:v>
      </x:c>
      <x:c r="L334" t="n">
        <x:v>7466.94</x:v>
      </x:c>
      <x:c r="M334" t="str"/>
      <x:c r="N334" t="str">
        <x:v>SIMULADO</x:v>
      </x:c>
    </x:row>
    <x:row r="335">
      <x:c r="A335" t="str">
        <x:v>ALEATORIA</x:v>
      </x:c>
      <x:c r="B335" t="str">
        <x:v>ATV-0235197</x:v>
      </x:c>
      <x:c r="C335" t="str">
        <x:v>Veículos e equipamentos móveis</x:v>
      </x:c>
      <x:c r="D335" t="str">
        <x:v>Congonhas/MG</x:v>
      </x:c>
      <x:c r="E335" t="str">
        <x:v>2015-01-26</x:v>
      </x:c>
      <x:c r="F335" t="str">
        <x:v>2015-07-25</x:v>
      </x:c>
      <x:c r="G335" t="str">
        <x:v>ATIVO</x:v>
      </x:c>
      <x:c r="H335" t="str">
        <x:v>RESP-072</x:v>
      </x:c>
      <x:c r="I335" t="str">
        <x:v>DOC-SIM-0235197</x:v>
      </x:c>
      <x:c r="J335" t="n">
        <x:v>24257.62</x:v>
      </x:c>
      <x:c r="K335" t="n">
        <x:v>7053.63</x:v>
      </x:c>
      <x:c r="L335" t="n">
        <x:v>17203.99</x:v>
      </x:c>
      <x:c r="M335" t="str"/>
      <x:c r="N335" t="str">
        <x:v>SIMULADO</x:v>
      </x:c>
    </x:row>
    <x:row r="336">
      <x:c r="A336" t="str">
        <x:v>ALEATORIA</x:v>
      </x:c>
      <x:c r="B336" t="str">
        <x:v>ATV-0236348</x:v>
      </x:c>
      <x:c r="C336" t="str">
        <x:v>Direito de uso</x:v>
      </x:c>
      <x:c r="D336" t="str">
        <x:v>Outras unidades</x:v>
      </x:c>
      <x:c r="E336" t="str">
        <x:v>2022-01-07</x:v>
      </x:c>
      <x:c r="F336" t="str">
        <x:v>2022-02-26</x:v>
      </x:c>
      <x:c r="G336" t="str">
        <x:v>ATIVO</x:v>
      </x:c>
      <x:c r="H336" t="str">
        <x:v>RESP-098</x:v>
      </x:c>
      <x:c r="I336" t="str">
        <x:v>DOC-SIM-0236348</x:v>
      </x:c>
      <x:c r="J336" t="n">
        <x:v>42600.48</x:v>
      </x:c>
      <x:c r="K336" t="n">
        <x:v>20412.73</x:v>
      </x:c>
      <x:c r="L336" t="n">
        <x:v>22187.75</x:v>
      </x:c>
      <x:c r="M336" t="str"/>
      <x:c r="N336" t="str">
        <x:v>SIMULADO</x:v>
      </x:c>
    </x:row>
    <x:row r="337">
      <x:c r="A337" t="str">
        <x:v>ALEATORIA</x:v>
      </x:c>
      <x:c r="B337" t="str">
        <x:v>ATV-0239177</x:v>
      </x:c>
      <x:c r="C337" t="str">
        <x:v>Máquinas e equipamentos</x:v>
      </x:c>
      <x:c r="D337" t="str">
        <x:v>Congonhas/MG</x:v>
      </x:c>
      <x:c r="E337" t="str">
        <x:v>2019-01-05</x:v>
      </x:c>
      <x:c r="F337" t="str">
        <x:v>2019-01-26</x:v>
      </x:c>
      <x:c r="G337" t="str">
        <x:v>ATIVO</x:v>
      </x:c>
      <x:c r="H337" t="str">
        <x:v>RESP-052</x:v>
      </x:c>
      <x:c r="I337" t="str">
        <x:v>DOC-SIM-0239177</x:v>
      </x:c>
      <x:c r="J337" t="n">
        <x:v>22467.12</x:v>
      </x:c>
      <x:c r="K337" t="n">
        <x:v>12656.15</x:v>
      </x:c>
      <x:c r="L337" t="n">
        <x:v>9810.97</x:v>
      </x:c>
      <x:c r="M337" t="str"/>
      <x:c r="N337" t="str">
        <x:v>SIMULADO</x:v>
      </x:c>
    </x:row>
    <x:row r="338">
      <x:c r="A338" t="str">
        <x:v>ALEATORIA</x:v>
      </x:c>
      <x:c r="B338" t="str">
        <x:v>ATV-0241825</x:v>
      </x:c>
      <x:c r="C338" t="str">
        <x:v>Obras em andamento</x:v>
      </x:c>
      <x:c r="D338" t="str">
        <x:v>Congonhas/MG</x:v>
      </x:c>
      <x:c r="E338" t="str">
        <x:v>2015-10-06</x:v>
      </x:c>
      <x:c r="F338" t="str">
        <x:v>2016-01-01</x:v>
      </x:c>
      <x:c r="G338" t="str">
        <x:v>ATIVO</x:v>
      </x:c>
      <x:c r="H338" t="str">
        <x:v>RESP-075</x:v>
      </x:c>
      <x:c r="I338" t="str">
        <x:v>DOC-SIM-0241825</x:v>
      </x:c>
      <x:c r="J338" t="n">
        <x:v>18965.26</x:v>
      </x:c>
      <x:c r="K338" t="n">
        <x:v>0</x:v>
      </x:c>
      <x:c r="L338" t="n">
        <x:v>18965.26</x:v>
      </x:c>
      <x:c r="M338" t="str"/>
      <x:c r="N338" t="str">
        <x:v>SIMULADO</x:v>
      </x:c>
    </x:row>
    <x:row r="339">
      <x:c r="A339" t="str">
        <x:v>ALEATORIA</x:v>
      </x:c>
      <x:c r="B339" t="str">
        <x:v>ATV-0241908</x:v>
      </x:c>
      <x:c r="C339" t="str">
        <x:v>Instalações industriais</x:v>
      </x:c>
      <x:c r="D339" t="str">
        <x:v>Outras unidades</x:v>
      </x:c>
      <x:c r="E339" t="str">
        <x:v>2018-10-26</x:v>
      </x:c>
      <x:c r="F339" t="str">
        <x:v>2018-12-12</x:v>
      </x:c>
      <x:c r="G339" t="str">
        <x:v>ATIVO</x:v>
      </x:c>
      <x:c r="H339" t="str">
        <x:v>RESP-033</x:v>
      </x:c>
      <x:c r="I339" t="str">
        <x:v>DOC-SIM-0241908</x:v>
      </x:c>
      <x:c r="J339" t="n">
        <x:v>25202.79</x:v>
      </x:c>
      <x:c r="K339" t="n">
        <x:v>14613.38</x:v>
      </x:c>
      <x:c r="L339" t="n">
        <x:v>10589.41</x:v>
      </x:c>
      <x:c r="M339" t="str"/>
      <x:c r="N339" t="str">
        <x:v>SIMULADO</x:v>
      </x:c>
    </x:row>
    <x:row r="340">
      <x:c r="A340" t="str">
        <x:v>ALEATORIA</x:v>
      </x:c>
      <x:c r="B340" t="str">
        <x:v>ATV-0243307</x:v>
      </x:c>
      <x:c r="C340" t="str">
        <x:v>Máquinas e equipamentos</x:v>
      </x:c>
      <x:c r="D340" t="str">
        <x:v>Operação logística</x:v>
      </x:c>
      <x:c r="E340" t="str">
        <x:v>2021-05-30</x:v>
      </x:c>
      <x:c r="F340" t="str">
        <x:v>2021-07-15</x:v>
      </x:c>
      <x:c r="G340" t="str">
        <x:v>ATIVO</x:v>
      </x:c>
      <x:c r="H340" t="str">
        <x:v>RESP-057</x:v>
      </x:c>
      <x:c r="I340" t="str">
        <x:v>DOC-SIM-0243307</x:v>
      </x:c>
      <x:c r="J340" t="n">
        <x:v>73944.79</x:v>
      </x:c>
      <x:c r="K340" t="n">
        <x:v>31930.7</x:v>
      </x:c>
      <x:c r="L340" t="n">
        <x:v>42014.09</x:v>
      </x:c>
      <x:c r="M340" t="str"/>
      <x:c r="N340" t="str">
        <x:v>SIMULADO</x:v>
      </x:c>
    </x:row>
    <x:row r="341">
      <x:c r="A341" t="str">
        <x:v>ALEATORIA</x:v>
      </x:c>
      <x:c r="B341" t="str">
        <x:v>ATV-0245562</x:v>
      </x:c>
      <x:c r="C341" t="str">
        <x:v>Instalações industriais</x:v>
      </x:c>
      <x:c r="D341" t="str">
        <x:v>Arcos/MG</x:v>
      </x:c>
      <x:c r="E341" t="str">
        <x:v>2016-11-08</x:v>
      </x:c>
      <x:c r="F341" t="str">
        <x:v>2017-03-23</x:v>
      </x:c>
      <x:c r="G341" t="str">
        <x:v>ATIVO</x:v>
      </x:c>
      <x:c r="H341" t="str">
        <x:v>RESP-062</x:v>
      </x:c>
      <x:c r="I341" t="str">
        <x:v>DOC-SIM-0245562</x:v>
      </x:c>
      <x:c r="J341" t="n">
        <x:v>21036.6</x:v>
      </x:c>
      <x:c r="K341" t="n">
        <x:v>3793.48</x:v>
      </x:c>
      <x:c r="L341" t="n">
        <x:v>17243.12</x:v>
      </x:c>
      <x:c r="M341" t="str"/>
      <x:c r="N341" t="str">
        <x:v>SIMULADO</x:v>
      </x:c>
    </x:row>
    <x:row r="342">
      <x:c r="A342" t="str">
        <x:v>ALEATORIA</x:v>
      </x:c>
      <x:c r="B342" t="str">
        <x:v>ATV-0249252</x:v>
      </x:c>
      <x:c r="C342" t="str">
        <x:v>Obras em andamento</x:v>
      </x:c>
      <x:c r="D342" t="str">
        <x:v>Outras unidades</x:v>
      </x:c>
      <x:c r="E342" t="str">
        <x:v>2022-09-14</x:v>
      </x:c>
      <x:c r="F342" t="str">
        <x:v>2023-03-04</x:v>
      </x:c>
      <x:c r="G342" t="str">
        <x:v>ATIVO</x:v>
      </x:c>
      <x:c r="H342" t="str">
        <x:v>RESP-002</x:v>
      </x:c>
      <x:c r="I342" t="str">
        <x:v>DOC-SIM-0249252</x:v>
      </x:c>
      <x:c r="J342" t="n">
        <x:v>24762.26</x:v>
      </x:c>
      <x:c r="K342" t="n">
        <x:v>0</x:v>
      </x:c>
      <x:c r="L342" t="n">
        <x:v>24762.26</x:v>
      </x:c>
      <x:c r="M342" t="str"/>
      <x:c r="N342" t="str">
        <x:v>SIMULADO</x:v>
      </x:c>
    </x:row>
    <x:row r="343">
      <x:c r="A343" t="str">
        <x:v>ALEATORIA</x:v>
      </x:c>
      <x:c r="B343" t="str">
        <x:v>ATV-0251993</x:v>
      </x:c>
      <x:c r="C343" t="str">
        <x:v>Direito de uso</x:v>
      </x:c>
      <x:c r="D343" t="str">
        <x:v>Congonhas/MG</x:v>
      </x:c>
      <x:c r="E343" t="str">
        <x:v>2023-04-02</x:v>
      </x:c>
      <x:c r="F343" t="str">
        <x:v>2023-09-26</x:v>
      </x:c>
      <x:c r="G343" t="str">
        <x:v>ATIVO</x:v>
      </x:c>
      <x:c r="H343" t="str">
        <x:v>RESP-118</x:v>
      </x:c>
      <x:c r="I343" t="str">
        <x:v>DOC-SIM-0251993</x:v>
      </x:c>
      <x:c r="J343" t="n">
        <x:v>14386.54</x:v>
      </x:c>
      <x:c r="K343" t="n">
        <x:v>2496.83</x:v>
      </x:c>
      <x:c r="L343" t="n">
        <x:v>11889.71</x:v>
      </x:c>
      <x:c r="M343" t="str"/>
      <x:c r="N343" t="str">
        <x:v>SIMULADO</x:v>
      </x:c>
    </x:row>
    <x:row r="344">
      <x:c r="A344" t="str">
        <x:v>ALEATORIA</x:v>
      </x:c>
      <x:c r="B344" t="str">
        <x:v>ATV-0252367</x:v>
      </x:c>
      <x:c r="C344" t="str">
        <x:v>Obras em andamento</x:v>
      </x:c>
      <x:c r="D344" t="str">
        <x:v>Operação logística</x:v>
      </x:c>
      <x:c r="E344" t="str">
        <x:v>2023-02-15</x:v>
      </x:c>
      <x:c r="F344" t="str">
        <x:v>2023-06-28</x:v>
      </x:c>
      <x:c r="G344" t="str">
        <x:v>ATIVO</x:v>
      </x:c>
      <x:c r="H344" t="str">
        <x:v>RESP-117</x:v>
      </x:c>
      <x:c r="I344" t="str">
        <x:v>DOC-SIM-0252367</x:v>
      </x:c>
      <x:c r="J344" t="n">
        <x:v>15860.2</x:v>
      </x:c>
      <x:c r="K344" t="n">
        <x:v>0</x:v>
      </x:c>
      <x:c r="L344" t="n">
        <x:v>15860.2</x:v>
      </x:c>
      <x:c r="M344" t="str"/>
      <x:c r="N344" t="str">
        <x:v>SIMULADO</x:v>
      </x:c>
    </x:row>
    <x:row r="345">
      <x:c r="A345" t="str">
        <x:v>ALEATORIA</x:v>
      </x:c>
      <x:c r="B345" t="str">
        <x:v>ATV-0260086</x:v>
      </x:c>
      <x:c r="C345" t="str">
        <x:v>Máquinas e equipamentos</x:v>
      </x:c>
      <x:c r="D345" t="str">
        <x:v>Arcos/MG</x:v>
      </x:c>
      <x:c r="E345" t="str">
        <x:v>2012-09-12</x:v>
      </x:c>
      <x:c r="F345" t="str">
        <x:v>2013-01-05</x:v>
      </x:c>
      <x:c r="G345" t="str">
        <x:v>ATIVO</x:v>
      </x:c>
      <x:c r="H345" t="str">
        <x:v>RESP-086</x:v>
      </x:c>
      <x:c r="I345" t="str">
        <x:v>DOC-SIM-0260086</x:v>
      </x:c>
      <x:c r="J345" t="n">
        <x:v>16456.2</x:v>
      </x:c>
      <x:c r="K345" t="n">
        <x:v>4266.42</x:v>
      </x:c>
      <x:c r="L345" t="n">
        <x:v>12189.78</x:v>
      </x:c>
      <x:c r="M345" t="str"/>
      <x:c r="N345" t="str">
        <x:v>SIMULADO</x:v>
      </x:c>
    </x:row>
    <x:row r="346">
      <x:c r="A346" t="str">
        <x:v>ALEATORIA</x:v>
      </x:c>
      <x:c r="B346" t="str">
        <x:v>ATV-0260444</x:v>
      </x:c>
      <x:c r="C346" t="str">
        <x:v>Instalações industriais</x:v>
      </x:c>
      <x:c r="D346" t="str">
        <x:v>Outras unidades</x:v>
      </x:c>
      <x:c r="E346" t="str">
        <x:v>2019-03-16</x:v>
      </x:c>
      <x:c r="F346" t="str">
        <x:v>2019-07-13</x:v>
      </x:c>
      <x:c r="G346" t="str">
        <x:v>ATIVO</x:v>
      </x:c>
      <x:c r="H346" t="str">
        <x:v>RESP-069</x:v>
      </x:c>
      <x:c r="I346" t="str">
        <x:v>DOC-SIM-0260444</x:v>
      </x:c>
      <x:c r="J346" t="n">
        <x:v>48220</x:v>
      </x:c>
      <x:c r="K346" t="n">
        <x:v>13529.35</x:v>
      </x:c>
      <x:c r="L346" t="n">
        <x:v>34690.65</x:v>
      </x:c>
      <x:c r="M346" t="str"/>
      <x:c r="N346" t="str">
        <x:v>SIMULADO</x:v>
      </x:c>
    </x:row>
    <x:row r="347">
      <x:c r="A347" t="str">
        <x:v>ALEATORIA</x:v>
      </x:c>
      <x:c r="B347" t="str">
        <x:v>ATV-0267175</x:v>
      </x:c>
      <x:c r="C347" t="str">
        <x:v>Infraestrutura de mina</x:v>
      </x:c>
      <x:c r="D347" t="str">
        <x:v>Operação logística</x:v>
      </x:c>
      <x:c r="E347" t="str">
        <x:v>2015-12-23</x:v>
      </x:c>
      <x:c r="F347" t="str">
        <x:v>2016-02-03</x:v>
      </x:c>
      <x:c r="G347" t="str">
        <x:v>ATIVO</x:v>
      </x:c>
      <x:c r="H347" t="str">
        <x:v>RESP-050</x:v>
      </x:c>
      <x:c r="I347" t="str">
        <x:v>DOC-SIM-0267175</x:v>
      </x:c>
      <x:c r="J347" t="n">
        <x:v>49175.23</x:v>
      </x:c>
      <x:c r="K347" t="n">
        <x:v>27979.01</x:v>
      </x:c>
      <x:c r="L347" t="n">
        <x:v>21196.22</x:v>
      </x:c>
      <x:c r="M347" t="str"/>
      <x:c r="N347" t="str">
        <x:v>SIMULADO</x:v>
      </x:c>
    </x:row>
    <x:row r="348">
      <x:c r="A348" t="str">
        <x:v>ALEATORIA</x:v>
      </x:c>
      <x:c r="B348" t="str">
        <x:v>ATV-0286050</x:v>
      </x:c>
      <x:c r="C348" t="str">
        <x:v>Instalações industriais</x:v>
      </x:c>
      <x:c r="D348" t="str">
        <x:v>Arcos/MG</x:v>
      </x:c>
      <x:c r="E348" t="str">
        <x:v>2022-11-22</x:v>
      </x:c>
      <x:c r="F348" t="str">
        <x:v>2023-01-01</x:v>
      </x:c>
      <x:c r="G348" t="str">
        <x:v>ATIVO</x:v>
      </x:c>
      <x:c r="H348" t="str">
        <x:v>RESP-050</x:v>
      </x:c>
      <x:c r="I348" t="str">
        <x:v>DOC-SIM-0286050</x:v>
      </x:c>
      <x:c r="J348" t="n">
        <x:v>31768.05</x:v>
      </x:c>
      <x:c r="K348" t="n">
        <x:v>6949.26</x:v>
      </x:c>
      <x:c r="L348" t="n">
        <x:v>24818.79</x:v>
      </x:c>
      <x:c r="M348" t="str"/>
      <x:c r="N348" t="str">
        <x:v>SIMULADO</x:v>
      </x:c>
    </x:row>
    <x:row r="349">
      <x:c r="A349" t="str">
        <x:v>ALEATORIA</x:v>
      </x:c>
      <x:c r="B349" t="str">
        <x:v>ATV-0288061</x:v>
      </x:c>
      <x:c r="C349" t="str">
        <x:v>Veículos e equipamentos móveis</x:v>
      </x:c>
      <x:c r="D349" t="str">
        <x:v>Congonhas/MG</x:v>
      </x:c>
      <x:c r="E349" t="str">
        <x:v>2023-01-15</x:v>
      </x:c>
      <x:c r="F349" t="str">
        <x:v>2023-06-28</x:v>
      </x:c>
      <x:c r="G349" t="str">
        <x:v>ATIVO</x:v>
      </x:c>
      <x:c r="H349" t="str">
        <x:v>RESP-061</x:v>
      </x:c>
      <x:c r="I349" t="str">
        <x:v>DOC-SIM-0288061</x:v>
      </x:c>
      <x:c r="J349" t="n">
        <x:v>65923.45</x:v>
      </x:c>
      <x:c r="K349" t="n">
        <x:v>35403.33</x:v>
      </x:c>
      <x:c r="L349" t="n">
        <x:v>30520.12</x:v>
      </x:c>
      <x:c r="M349" t="str"/>
      <x:c r="N349" t="str">
        <x:v>SIMULADO</x:v>
      </x:c>
    </x:row>
    <x:row r="350">
      <x:c r="A350" t="str">
        <x:v>ALEATORIA</x:v>
      </x:c>
      <x:c r="B350" t="str">
        <x:v>ATV-0288730</x:v>
      </x:c>
      <x:c r="C350" t="str">
        <x:v>Máquinas e equipamentos</x:v>
      </x:c>
      <x:c r="D350" t="str">
        <x:v>Arcos/MG</x:v>
      </x:c>
      <x:c r="E350" t="str">
        <x:v>2019-03-04</x:v>
      </x:c>
      <x:c r="F350" t="str">
        <x:v>2019-07-18</x:v>
      </x:c>
      <x:c r="G350" t="str">
        <x:v>ATIVO</x:v>
      </x:c>
      <x:c r="H350" t="str">
        <x:v>RESP-105</x:v>
      </x:c>
      <x:c r="I350" t="str">
        <x:v>DOC-SIM-0288730</x:v>
      </x:c>
      <x:c r="J350" t="n">
        <x:v>4699.59</x:v>
      </x:c>
      <x:c r="K350" t="n">
        <x:v>2533.88</x:v>
      </x:c>
      <x:c r="L350" t="n">
        <x:v>2165.71</x:v>
      </x:c>
      <x:c r="M350" t="str"/>
      <x:c r="N350" t="str">
        <x:v>SIMULADO</x:v>
      </x:c>
    </x:row>
    <x:row r="351">
      <x:c r="A351" t="str">
        <x:v>ALEATORIA</x:v>
      </x:c>
      <x:c r="B351" t="str">
        <x:v>ATV-0292628</x:v>
      </x:c>
      <x:c r="C351" t="str">
        <x:v>Direito de uso</x:v>
      </x:c>
      <x:c r="D351" t="str">
        <x:v>Outras unidades</x:v>
      </x:c>
      <x:c r="E351" t="str">
        <x:v>2015-07-13</x:v>
      </x:c>
      <x:c r="F351" t="str">
        <x:v>2015-11-15</x:v>
      </x:c>
      <x:c r="G351" t="str">
        <x:v>ATIVO</x:v>
      </x:c>
      <x:c r="H351" t="str">
        <x:v>RESP-003</x:v>
      </x:c>
      <x:c r="I351" t="str">
        <x:v>DOC-SIM-0292628</x:v>
      </x:c>
      <x:c r="J351" t="n">
        <x:v>109637.93</x:v>
      </x:c>
      <x:c r="K351" t="n">
        <x:v>66810.61</x:v>
      </x:c>
      <x:c r="L351" t="n">
        <x:v>42827.32</x:v>
      </x:c>
      <x:c r="M351" t="str"/>
      <x:c r="N351" t="str">
        <x:v>SIMULADO</x:v>
      </x:c>
    </x:row>
    <x:row r="352">
      <x:c r="A352" t="str">
        <x:v>ALEATORIA</x:v>
      </x:c>
      <x:c r="B352" t="str">
        <x:v>ATV-0298270</x:v>
      </x:c>
      <x:c r="C352" t="str">
        <x:v>Direito de uso</x:v>
      </x:c>
      <x:c r="D352" t="str">
        <x:v>Arcos/MG</x:v>
      </x:c>
      <x:c r="E352" t="str">
        <x:v>2025-10-20</x:v>
      </x:c>
      <x:c r="F352" t="str">
        <x:v>2026-03-10</x:v>
      </x:c>
      <x:c r="G352" t="str">
        <x:v>ATIVO</x:v>
      </x:c>
      <x:c r="H352" t="str">
        <x:v>RESP-020</x:v>
      </x:c>
      <x:c r="I352" t="str">
        <x:v>DOC-SIM-0298270</x:v>
      </x:c>
      <x:c r="J352" t="n">
        <x:v>44650.59</x:v>
      </x:c>
      <x:c r="K352" t="n">
        <x:v>23489.17</x:v>
      </x:c>
      <x:c r="L352" t="n">
        <x:v>21161.42</x:v>
      </x:c>
      <x:c r="M352" t="str"/>
      <x:c r="N352" t="str">
        <x:v>SIMULADO</x:v>
      </x:c>
    </x:row>
    <x:row r="353">
      <x:c r="A353" t="str">
        <x:v>ALEATORIA</x:v>
      </x:c>
      <x:c r="B353" t="str">
        <x:v>ATV-0300793</x:v>
      </x:c>
      <x:c r="C353" t="str">
        <x:v>Obras em andamento</x:v>
      </x:c>
      <x:c r="D353" t="str">
        <x:v>Congonhas/MG</x:v>
      </x:c>
      <x:c r="E353" t="str">
        <x:v>2019-04-25</x:v>
      </x:c>
      <x:c r="F353" t="str">
        <x:v>2019-04-29</x:v>
      </x:c>
      <x:c r="G353" t="str">
        <x:v>ATIVO</x:v>
      </x:c>
      <x:c r="H353" t="str">
        <x:v>RESP-043</x:v>
      </x:c>
      <x:c r="I353" t="str">
        <x:v>DOC-SIM-0300793</x:v>
      </x:c>
      <x:c r="J353" t="n">
        <x:v>29502.49</x:v>
      </x:c>
      <x:c r="K353" t="n">
        <x:v>0</x:v>
      </x:c>
      <x:c r="L353" t="n">
        <x:v>29502.49</x:v>
      </x:c>
      <x:c r="M353" t="str"/>
      <x:c r="N353" t="str">
        <x:v>SIMULADO</x:v>
      </x:c>
    </x:row>
    <x:row r="354">
      <x:c r="A354" t="str">
        <x:v>ALEATORIA</x:v>
      </x:c>
      <x:c r="B354" t="str">
        <x:v>ATV-0302523</x:v>
      </x:c>
      <x:c r="C354" t="str">
        <x:v>Veículos e equipamentos móveis</x:v>
      </x:c>
      <x:c r="D354" t="str">
        <x:v>Operação logística</x:v>
      </x:c>
      <x:c r="E354" t="str">
        <x:v>2023-02-28</x:v>
      </x:c>
      <x:c r="F354" t="str">
        <x:v>2023-03-03</x:v>
      </x:c>
      <x:c r="G354" t="str">
        <x:v>ATIVO</x:v>
      </x:c>
      <x:c r="H354" t="str">
        <x:v>RESP-023</x:v>
      </x:c>
      <x:c r="I354" t="str">
        <x:v>DOC-SIM-0302523</x:v>
      </x:c>
      <x:c r="J354" t="n">
        <x:v>61983.46</x:v>
      </x:c>
      <x:c r="K354" t="n">
        <x:v>20934.81</x:v>
      </x:c>
      <x:c r="L354" t="n">
        <x:v>41048.65</x:v>
      </x:c>
      <x:c r="M354" t="str"/>
      <x:c r="N354" t="str">
        <x:v>SIMULADO</x:v>
      </x:c>
    </x:row>
    <x:row r="355">
      <x:c r="A355" t="str">
        <x:v>ALEATORIA</x:v>
      </x:c>
      <x:c r="B355" t="str">
        <x:v>ATV-0302931</x:v>
      </x:c>
      <x:c r="C355" t="str">
        <x:v>Infraestrutura de mina</x:v>
      </x:c>
      <x:c r="D355" t="str">
        <x:v>Operação logística</x:v>
      </x:c>
      <x:c r="E355" t="str">
        <x:v>2014-02-26</x:v>
      </x:c>
      <x:c r="F355" t="str">
        <x:v>2014-04-01</x:v>
      </x:c>
      <x:c r="G355" t="str">
        <x:v>ATIVO</x:v>
      </x:c>
      <x:c r="H355" t="str">
        <x:v>RESP-056</x:v>
      </x:c>
      <x:c r="I355" t="str">
        <x:v>DOC-SIM-0302931</x:v>
      </x:c>
      <x:c r="J355" t="n">
        <x:v>25703.55</x:v>
      </x:c>
      <x:c r="K355" t="n">
        <x:v>12522.24</x:v>
      </x:c>
      <x:c r="L355" t="n">
        <x:v>13181.31</x:v>
      </x:c>
      <x:c r="M355" t="str"/>
      <x:c r="N355" t="str">
        <x:v>SIMULADO</x:v>
      </x:c>
    </x:row>
    <x:row r="356">
      <x:c r="A356" t="str">
        <x:v>ALEATORIA</x:v>
      </x:c>
      <x:c r="B356" t="str">
        <x:v>ATV-0304002</x:v>
      </x:c>
      <x:c r="C356" t="str">
        <x:v>Infraestrutura de mina</x:v>
      </x:c>
      <x:c r="D356" t="str">
        <x:v>Arcos/MG</x:v>
      </x:c>
      <x:c r="E356" t="str">
        <x:v>2022-05-01</x:v>
      </x:c>
      <x:c r="F356" t="str">
        <x:v>2022-07-27</x:v>
      </x:c>
      <x:c r="G356" t="str">
        <x:v>ATIVO</x:v>
      </x:c>
      <x:c r="H356" t="str">
        <x:v>RESP-002</x:v>
      </x:c>
      <x:c r="I356" t="str">
        <x:v>DOC-SIM-0304002</x:v>
      </x:c>
      <x:c r="J356" t="n">
        <x:v>22709.26</x:v>
      </x:c>
      <x:c r="K356" t="n">
        <x:v>5105.18</x:v>
      </x:c>
      <x:c r="L356" t="n">
        <x:v>17604.08</x:v>
      </x:c>
      <x:c r="M356" t="str"/>
      <x:c r="N356" t="str">
        <x:v>SIMULADO</x:v>
      </x:c>
    </x:row>
    <x:row r="357">
      <x:c r="A357" t="str">
        <x:v>ALEATORIA</x:v>
      </x:c>
      <x:c r="B357" t="str">
        <x:v>ATV-0309535</x:v>
      </x:c>
      <x:c r="C357" t="str">
        <x:v>Instalações industriais</x:v>
      </x:c>
      <x:c r="D357" t="str">
        <x:v>Operação logística</x:v>
      </x:c>
      <x:c r="E357" t="str">
        <x:v>2014-06-09</x:v>
      </x:c>
      <x:c r="F357" t="str">
        <x:v>2014-06-17</x:v>
      </x:c>
      <x:c r="G357" t="str">
        <x:v>ATIVO</x:v>
      </x:c>
      <x:c r="H357" t="str">
        <x:v>RESP-035</x:v>
      </x:c>
      <x:c r="I357" t="str">
        <x:v>DOC-SIM-0309535</x:v>
      </x:c>
      <x:c r="J357" t="n">
        <x:v>51889.94</x:v>
      </x:c>
      <x:c r="K357" t="n">
        <x:v>18195.17</x:v>
      </x:c>
      <x:c r="L357" t="n">
        <x:v>33694.77</x:v>
      </x:c>
      <x:c r="M357" t="str"/>
      <x:c r="N357" t="str">
        <x:v>SIMULADO</x:v>
      </x:c>
    </x:row>
    <x:row r="358">
      <x:c r="A358" t="str">
        <x:v>ALEATORIA</x:v>
      </x:c>
      <x:c r="B358" t="str">
        <x:v>ATV-0311228</x:v>
      </x:c>
      <x:c r="C358" t="str">
        <x:v>Máquinas e equipamentos</x:v>
      </x:c>
      <x:c r="D358" t="str">
        <x:v>Outras unidades</x:v>
      </x:c>
      <x:c r="E358" t="str">
        <x:v>2016-12-08</x:v>
      </x:c>
      <x:c r="F358" t="str">
        <x:v>2016-12-23</x:v>
      </x:c>
      <x:c r="G358" t="str">
        <x:v>ATIVO</x:v>
      </x:c>
      <x:c r="H358" t="str">
        <x:v>RESP-103</x:v>
      </x:c>
      <x:c r="I358" t="str">
        <x:v>DOC-SIM-0311228</x:v>
      </x:c>
      <x:c r="J358" t="n">
        <x:v>7058.14</x:v>
      </x:c>
      <x:c r="K358" t="n">
        <x:v>2352.71</x:v>
      </x:c>
      <x:c r="L358" t="n">
        <x:v>4705.43</x:v>
      </x:c>
      <x:c r="M358" t="str"/>
      <x:c r="N358" t="str">
        <x:v>SIMULADO</x:v>
      </x:c>
    </x:row>
    <x:row r="359">
      <x:c r="A359" t="str">
        <x:v>ALEATORIA</x:v>
      </x:c>
      <x:c r="B359" t="str">
        <x:v>ATV-0317202</x:v>
      </x:c>
      <x:c r="C359" t="str">
        <x:v>Veículos e equipamentos móveis</x:v>
      </x:c>
      <x:c r="D359" t="str">
        <x:v>Arcos/MG</x:v>
      </x:c>
      <x:c r="E359" t="str">
        <x:v>2013-06-27</x:v>
      </x:c>
      <x:c r="F359" t="str">
        <x:v>2013-07-29</x:v>
      </x:c>
      <x:c r="G359" t="str">
        <x:v>ATIVO</x:v>
      </x:c>
      <x:c r="H359" t="str">
        <x:v>RESP-077</x:v>
      </x:c>
      <x:c r="I359" t="str">
        <x:v>DOC-SIM-0317202</x:v>
      </x:c>
      <x:c r="J359" t="n">
        <x:v>20316.92</x:v>
      </x:c>
      <x:c r="K359" t="n">
        <x:v>2952.03</x:v>
      </x:c>
      <x:c r="L359" t="n">
        <x:v>17364.89</x:v>
      </x:c>
      <x:c r="M359" t="str"/>
      <x:c r="N359" t="str">
        <x:v>SIMULADO</x:v>
      </x:c>
    </x:row>
    <x:row r="360">
      <x:c r="A360" t="str">
        <x:v>ALEATORIA</x:v>
      </x:c>
      <x:c r="B360" t="str">
        <x:v>ATV-0332430</x:v>
      </x:c>
      <x:c r="C360" t="str">
        <x:v>Direito de uso</x:v>
      </x:c>
      <x:c r="D360" t="str">
        <x:v>Arcos/MG</x:v>
      </x:c>
      <x:c r="E360" t="str">
        <x:v>2019-12-23</x:v>
      </x:c>
      <x:c r="F360" t="str">
        <x:v>2019-12-27</x:v>
      </x:c>
      <x:c r="G360" t="str">
        <x:v>ATIVO</x:v>
      </x:c>
      <x:c r="H360" t="str">
        <x:v>RESP-055</x:v>
      </x:c>
      <x:c r="I360" t="str">
        <x:v>DOC-SIM-0332430</x:v>
      </x:c>
      <x:c r="J360" t="n">
        <x:v>50792.47</x:v>
      </x:c>
      <x:c r="K360" t="n">
        <x:v>9830.8</x:v>
      </x:c>
      <x:c r="L360" t="n">
        <x:v>40961.67</x:v>
      </x:c>
      <x:c r="M360" t="str"/>
      <x:c r="N360" t="str">
        <x:v>SIMULADO</x:v>
      </x:c>
    </x:row>
    <x:row r="361">
      <x:c r="A361" t="str">
        <x:v>ALEATORIA</x:v>
      </x:c>
      <x:c r="B361" t="str">
        <x:v>ATV-0338987</x:v>
      </x:c>
      <x:c r="C361" t="str">
        <x:v>Edificações</x:v>
      </x:c>
      <x:c r="D361" t="str">
        <x:v>Operação logística</x:v>
      </x:c>
      <x:c r="E361" t="str">
        <x:v>2013-04-30</x:v>
      </x:c>
      <x:c r="F361" t="str">
        <x:v>2013-08-25</x:v>
      </x:c>
      <x:c r="G361" t="str">
        <x:v>ATIVO</x:v>
      </x:c>
      <x:c r="H361" t="str">
        <x:v>RESP-112</x:v>
      </x:c>
      <x:c r="I361" t="str">
        <x:v>DOC-SIM-0338987</x:v>
      </x:c>
      <x:c r="J361" t="n">
        <x:v>2574.5</x:v>
      </x:c>
      <x:c r="K361" t="n">
        <x:v>1287.25</x:v>
      </x:c>
      <x:c r="L361" t="n">
        <x:v>1287.25</x:v>
      </x:c>
      <x:c r="M361" t="str"/>
      <x:c r="N361" t="str">
        <x:v>SIMULADO</x:v>
      </x:c>
    </x:row>
    <x:row r="362">
      <x:c r="A362" t="str">
        <x:v>ALEATORIA</x:v>
      </x:c>
      <x:c r="B362" t="str">
        <x:v>ATV-0341071</x:v>
      </x:c>
      <x:c r="C362" t="str">
        <x:v>Obras em andamento</x:v>
      </x:c>
      <x:c r="D362" t="str">
        <x:v>Operação logística</x:v>
      </x:c>
      <x:c r="E362" t="str">
        <x:v>2019-07-02</x:v>
      </x:c>
      <x:c r="F362" t="str">
        <x:v>2019-10-21</x:v>
      </x:c>
      <x:c r="G362" t="str">
        <x:v>ATIVO</x:v>
      </x:c>
      <x:c r="H362" t="str">
        <x:v>RESP-071</x:v>
      </x:c>
      <x:c r="I362" t="str">
        <x:v>DOC-SIM-0341071</x:v>
      </x:c>
      <x:c r="J362" t="n">
        <x:v>7292.99</x:v>
      </x:c>
      <x:c r="K362" t="n">
        <x:v>0</x:v>
      </x:c>
      <x:c r="L362" t="n">
        <x:v>7292.99</x:v>
      </x:c>
      <x:c r="M362" t="str"/>
      <x:c r="N362" t="str">
        <x:v>SIMULADO</x:v>
      </x:c>
    </x:row>
    <x:row r="363">
      <x:c r="A363" t="str">
        <x:v>ALEATORIA</x:v>
      </x:c>
      <x:c r="B363" t="str">
        <x:v>ATV-0347247</x:v>
      </x:c>
      <x:c r="C363" t="str">
        <x:v>Edificações</x:v>
      </x:c>
      <x:c r="D363" t="str">
        <x:v>Operação logística</x:v>
      </x:c>
      <x:c r="E363" t="str">
        <x:v>2021-09-16</x:v>
      </x:c>
      <x:c r="F363" t="str">
        <x:v>2022-01-17</x:v>
      </x:c>
      <x:c r="G363" t="str">
        <x:v>ATIVO</x:v>
      </x:c>
      <x:c r="H363" t="str">
        <x:v>RESP-122</x:v>
      </x:c>
      <x:c r="I363" t="str">
        <x:v>DOC-SIM-0347247</x:v>
      </x:c>
      <x:c r="J363" t="n">
        <x:v>38679.73</x:v>
      </x:c>
      <x:c r="K363" t="n">
        <x:v>23145.7</x:v>
      </x:c>
      <x:c r="L363" t="n">
        <x:v>15534.03</x:v>
      </x:c>
      <x:c r="M363" t="str"/>
      <x:c r="N363" t="str">
        <x:v>SIMULADO</x:v>
      </x:c>
    </x:row>
    <x:row r="364">
      <x:c r="A364" t="str">
        <x:v>ALEATORIA</x:v>
      </x:c>
      <x:c r="B364" t="str">
        <x:v>ATV-0348238</x:v>
      </x:c>
      <x:c r="C364" t="str">
        <x:v>Instalações industriais</x:v>
      </x:c>
      <x:c r="D364" t="str">
        <x:v>Arcos/MG</x:v>
      </x:c>
      <x:c r="E364" t="str">
        <x:v>2023-04-15</x:v>
      </x:c>
      <x:c r="F364" t="str">
        <x:v>2023-06-07</x:v>
      </x:c>
      <x:c r="G364" t="str">
        <x:v>ATIVO</x:v>
      </x:c>
      <x:c r="H364" t="str">
        <x:v>RESP-113</x:v>
      </x:c>
      <x:c r="I364" t="str">
        <x:v>DOC-SIM-0348238</x:v>
      </x:c>
      <x:c r="J364" t="n">
        <x:v>38630.95</x:v>
      </x:c>
      <x:c r="K364" t="n">
        <x:v>22927.31</x:v>
      </x:c>
      <x:c r="L364" t="n">
        <x:v>15703.64</x:v>
      </x:c>
      <x:c r="M364" t="str"/>
      <x:c r="N364" t="str">
        <x:v>SIMULADO</x:v>
      </x:c>
    </x:row>
    <x:row r="365">
      <x:c r="A365" t="str">
        <x:v>ALEATORIA</x:v>
      </x:c>
      <x:c r="B365" t="str">
        <x:v>ATV-0359875</x:v>
      </x:c>
      <x:c r="C365" t="str">
        <x:v>Edificações</x:v>
      </x:c>
      <x:c r="D365" t="str">
        <x:v>Operação logística</x:v>
      </x:c>
      <x:c r="E365" t="str">
        <x:v>2019-09-14</x:v>
      </x:c>
      <x:c r="F365" t="str">
        <x:v>2020-02-18</x:v>
      </x:c>
      <x:c r="G365" t="str">
        <x:v>ATIVO</x:v>
      </x:c>
      <x:c r="H365" t="str">
        <x:v>RESP-125</x:v>
      </x:c>
      <x:c r="I365" t="str">
        <x:v>DOC-SIM-0359875</x:v>
      </x:c>
      <x:c r="J365" t="n">
        <x:v>43482.08</x:v>
      </x:c>
      <x:c r="K365" t="n">
        <x:v>18776.35</x:v>
      </x:c>
      <x:c r="L365" t="n">
        <x:v>24705.73</x:v>
      </x:c>
      <x:c r="M365" t="str"/>
      <x:c r="N365" t="str">
        <x:v>SIMULADO</x:v>
      </x:c>
    </x:row>
    <x:row r="366">
      <x:c r="A366" t="str">
        <x:v>ALEATORIA</x:v>
      </x:c>
      <x:c r="B366" t="str">
        <x:v>ATV-0360675</x:v>
      </x:c>
      <x:c r="C366" t="str">
        <x:v>Direito de uso</x:v>
      </x:c>
      <x:c r="D366" t="str">
        <x:v>Operação logística</x:v>
      </x:c>
      <x:c r="E366" t="str">
        <x:v>2014-09-08</x:v>
      </x:c>
      <x:c r="F366" t="str">
        <x:v>2015-02-13</x:v>
      </x:c>
      <x:c r="G366" t="str">
        <x:v>ATIVO</x:v>
      </x:c>
      <x:c r="H366" t="str">
        <x:v>RESP-050</x:v>
      </x:c>
      <x:c r="I366" t="str">
        <x:v>DOC-SIM-0360675</x:v>
      </x:c>
      <x:c r="J366" t="n">
        <x:v>86564.36</x:v>
      </x:c>
      <x:c r="K366" t="n">
        <x:v>49412.27</x:v>
      </x:c>
      <x:c r="L366" t="n">
        <x:v>37152.09</x:v>
      </x:c>
      <x:c r="M366" t="str"/>
      <x:c r="N366" t="str">
        <x:v>SIMULADO</x:v>
      </x:c>
    </x:row>
    <x:row r="367">
      <x:c r="A367" t="str">
        <x:v>ALEATORIA</x:v>
      </x:c>
      <x:c r="B367" t="str">
        <x:v>ATV-0364103</x:v>
      </x:c>
      <x:c r="C367" t="str">
        <x:v>Edificações</x:v>
      </x:c>
      <x:c r="D367" t="str">
        <x:v>Operação logística</x:v>
      </x:c>
      <x:c r="E367" t="str">
        <x:v>2021-11-21</x:v>
      </x:c>
      <x:c r="F367" t="str">
        <x:v>2022-05-18</x:v>
      </x:c>
      <x:c r="G367" t="str">
        <x:v>ATIVO</x:v>
      </x:c>
      <x:c r="H367" t="str">
        <x:v>RESP-103</x:v>
      </x:c>
      <x:c r="I367" t="str">
        <x:v>DOC-SIM-0364103</x:v>
      </x:c>
      <x:c r="J367" t="n">
        <x:v>62528.05</x:v>
      </x:c>
      <x:c r="K367" t="n">
        <x:v>34860.77</x:v>
      </x:c>
      <x:c r="L367" t="n">
        <x:v>27667.28</x:v>
      </x:c>
      <x:c r="M367" t="str"/>
      <x:c r="N367" t="str">
        <x:v>SIMULADO</x:v>
      </x:c>
    </x:row>
    <x:row r="368">
      <x:c r="A368" t="str">
        <x:v>ALEATORIA</x:v>
      </x:c>
      <x:c r="B368" t="str">
        <x:v>ATV-0370478</x:v>
      </x:c>
      <x:c r="C368" t="str">
        <x:v>Obras em andamento</x:v>
      </x:c>
      <x:c r="D368" t="str">
        <x:v>Arcos/MG</x:v>
      </x:c>
      <x:c r="E368" t="str">
        <x:v>2023-07-23</x:v>
      </x:c>
      <x:c r="F368" t="str">
        <x:v>2023-10-20</x:v>
      </x:c>
      <x:c r="G368" t="str">
        <x:v>ATIVO</x:v>
      </x:c>
      <x:c r="H368" t="str">
        <x:v>RESP-103</x:v>
      </x:c>
      <x:c r="I368" t="str">
        <x:v>DOC-SIM-0370478</x:v>
      </x:c>
      <x:c r="J368" t="n">
        <x:v>8541.11</x:v>
      </x:c>
      <x:c r="K368" t="n">
        <x:v>0</x:v>
      </x:c>
      <x:c r="L368" t="n">
        <x:v>8541.11</x:v>
      </x:c>
      <x:c r="M368" t="str"/>
      <x:c r="N368" t="str">
        <x:v>SIMULADO</x:v>
      </x:c>
    </x:row>
    <x:row r="369">
      <x:c r="A369" t="str">
        <x:v>ALEATORIA</x:v>
      </x:c>
      <x:c r="B369" t="str">
        <x:v>ATV-0377541</x:v>
      </x:c>
      <x:c r="C369" t="str">
        <x:v>Obras em andamento</x:v>
      </x:c>
      <x:c r="D369" t="str">
        <x:v>Congonhas/MG</x:v>
      </x:c>
      <x:c r="E369" t="str">
        <x:v>2019-09-22</x:v>
      </x:c>
      <x:c r="F369" t="str">
        <x:v>2019-11-29</x:v>
      </x:c>
      <x:c r="G369" t="str">
        <x:v>ATIVO</x:v>
      </x:c>
      <x:c r="H369" t="str">
        <x:v>RESP-041</x:v>
      </x:c>
      <x:c r="I369" t="str">
        <x:v>DOC-SIM-0377541</x:v>
      </x:c>
      <x:c r="J369" t="n">
        <x:v>11950.59</x:v>
      </x:c>
      <x:c r="K369" t="n">
        <x:v>0</x:v>
      </x:c>
      <x:c r="L369" t="n">
        <x:v>11950.59</x:v>
      </x:c>
      <x:c r="M369" t="str"/>
      <x:c r="N369" t="str">
        <x:v>SIMULADO</x:v>
      </x:c>
    </x:row>
    <x:row r="370">
      <x:c r="A370" t="str">
        <x:v>ALEATORIA</x:v>
      </x:c>
      <x:c r="B370" t="str">
        <x:v>ATV-0384633</x:v>
      </x:c>
      <x:c r="C370" t="str">
        <x:v>Veículos e equipamentos móveis</x:v>
      </x:c>
      <x:c r="D370" t="str">
        <x:v>Congonhas/MG</x:v>
      </x:c>
      <x:c r="E370" t="str">
        <x:v>2013-06-19</x:v>
      </x:c>
      <x:c r="F370" t="str">
        <x:v>2013-11-14</x:v>
      </x:c>
      <x:c r="G370" t="str">
        <x:v>ATIVO</x:v>
      </x:c>
      <x:c r="H370" t="str">
        <x:v>RESP-008</x:v>
      </x:c>
      <x:c r="I370" t="str">
        <x:v>DOC-SIM-0384633</x:v>
      </x:c>
      <x:c r="J370" t="n">
        <x:v>84207.33</x:v>
      </x:c>
      <x:c r="K370" t="n">
        <x:v>49120.94</x:v>
      </x:c>
      <x:c r="L370" t="n">
        <x:v>35086.39</x:v>
      </x:c>
      <x:c r="M370" t="str"/>
      <x:c r="N370" t="str">
        <x:v>SIMULADO</x:v>
      </x:c>
    </x:row>
    <x:row r="371">
      <x:c r="A371" t="str">
        <x:v>ALEATORIA</x:v>
      </x:c>
      <x:c r="B371" t="str">
        <x:v>ATV-0385627</x:v>
      </x:c>
      <x:c r="C371" t="str">
        <x:v>Veículos e equipamentos móveis</x:v>
      </x:c>
      <x:c r="D371" t="str">
        <x:v>Operação logística</x:v>
      </x:c>
      <x:c r="E371" t="str">
        <x:v>2014-01-24</x:v>
      </x:c>
      <x:c r="F371" t="str">
        <x:v>2014-04-01</x:v>
      </x:c>
      <x:c r="G371" t="str">
        <x:v>ATIVO</x:v>
      </x:c>
      <x:c r="H371" t="str">
        <x:v>RESP-002</x:v>
      </x:c>
      <x:c r="I371" t="str">
        <x:v>DOC-SIM-0385627</x:v>
      </x:c>
      <x:c r="J371" t="n">
        <x:v>44984.32</x:v>
      </x:c>
      <x:c r="K371" t="n">
        <x:v>26240.85</x:v>
      </x:c>
      <x:c r="L371" t="n">
        <x:v>18743.47</x:v>
      </x:c>
      <x:c r="M371" t="str"/>
      <x:c r="N371" t="str">
        <x:v>SIMULADO</x:v>
      </x:c>
    </x:row>
    <x:row r="372">
      <x:c r="A372" t="str">
        <x:v>ALEATORIA</x:v>
      </x:c>
      <x:c r="B372" t="str">
        <x:v>ATV-0387913</x:v>
      </x:c>
      <x:c r="C372" t="str">
        <x:v>Máquinas e equipamentos</x:v>
      </x:c>
      <x:c r="D372" t="str">
        <x:v>Congonhas/MG</x:v>
      </x:c>
      <x:c r="E372" t="str">
        <x:v>2022-05-19</x:v>
      </x:c>
      <x:c r="F372" t="str">
        <x:v>2022-09-21</x:v>
      </x:c>
      <x:c r="G372" t="str">
        <x:v>ATIVO</x:v>
      </x:c>
      <x:c r="H372" t="str">
        <x:v>RESP-038</x:v>
      </x:c>
      <x:c r="I372" t="str">
        <x:v>DOC-SIM-0387913</x:v>
      </x:c>
      <x:c r="J372" t="n">
        <x:v>6700.54</x:v>
      </x:c>
      <x:c r="K372" t="n">
        <x:v>2538.71</x:v>
      </x:c>
      <x:c r="L372" t="n">
        <x:v>4161.83</x:v>
      </x:c>
      <x:c r="M372" t="str"/>
      <x:c r="N372" t="str">
        <x:v>SIMULADO</x:v>
      </x:c>
    </x:row>
    <x:row r="373">
      <x:c r="A373" t="str">
        <x:v>ALEATORIA</x:v>
      </x:c>
      <x:c r="B373" t="str">
        <x:v>ATV-0388847</x:v>
      </x:c>
      <x:c r="C373" t="str">
        <x:v>Veículos e equipamentos móveis</x:v>
      </x:c>
      <x:c r="D373" t="str">
        <x:v>Operação logística</x:v>
      </x:c>
      <x:c r="E373" t="str">
        <x:v>2012-12-31</x:v>
      </x:c>
      <x:c r="F373" t="str">
        <x:v>2013-01-09</x:v>
      </x:c>
      <x:c r="G373" t="str">
        <x:v>ATIVO</x:v>
      </x:c>
      <x:c r="H373" t="str">
        <x:v>RESP-097</x:v>
      </x:c>
      <x:c r="I373" t="str">
        <x:v>DOC-SIM-0388847</x:v>
      </x:c>
      <x:c r="J373" t="n">
        <x:v>12066.62</x:v>
      </x:c>
      <x:c r="K373" t="n">
        <x:v>3569</x:v>
      </x:c>
      <x:c r="L373" t="n">
        <x:v>8497.62</x:v>
      </x:c>
      <x:c r="M373" t="str"/>
      <x:c r="N373" t="str">
        <x:v>SIMULADO</x:v>
      </x:c>
    </x:row>
    <x:row r="374">
      <x:c r="A374" t="str">
        <x:v>ALEATORIA</x:v>
      </x:c>
      <x:c r="B374" t="str">
        <x:v>ATV-0393513</x:v>
      </x:c>
      <x:c r="C374" t="str">
        <x:v>Máquinas e equipamentos</x:v>
      </x:c>
      <x:c r="D374" t="str">
        <x:v>Congonhas/MG</x:v>
      </x:c>
      <x:c r="E374" t="str">
        <x:v>2019-01-13</x:v>
      </x:c>
      <x:c r="F374" t="str">
        <x:v>2019-06-19</x:v>
      </x:c>
      <x:c r="G374" t="str">
        <x:v>ATIVO</x:v>
      </x:c>
      <x:c r="H374" t="str">
        <x:v>RESP-013</x:v>
      </x:c>
      <x:c r="I374" t="str">
        <x:v>DOC-SIM-0393513</x:v>
      </x:c>
      <x:c r="J374" t="n">
        <x:v>39904.02</x:v>
      </x:c>
      <x:c r="K374" t="n">
        <x:v>7461.72</x:v>
      </x:c>
      <x:c r="L374" t="n">
        <x:v>32442.3</x:v>
      </x:c>
      <x:c r="M374" t="str"/>
      <x:c r="N374" t="str">
        <x:v>SIMULADO</x:v>
      </x:c>
    </x:row>
    <x:row r="375">
      <x:c r="A375" t="str">
        <x:v>ALEATORIA</x:v>
      </x:c>
      <x:c r="B375" t="str">
        <x:v>ATV-0394923</x:v>
      </x:c>
      <x:c r="C375" t="str">
        <x:v>Veículos e equipamentos móveis</x:v>
      </x:c>
      <x:c r="D375" t="str">
        <x:v>Operação logística</x:v>
      </x:c>
      <x:c r="E375" t="str">
        <x:v>2015-05-25</x:v>
      </x:c>
      <x:c r="F375" t="str">
        <x:v>2015-06-18</x:v>
      </x:c>
      <x:c r="G375" t="str">
        <x:v>ATIVO</x:v>
      </x:c>
      <x:c r="H375" t="str">
        <x:v>RESP-048</x:v>
      </x:c>
      <x:c r="I375" t="str">
        <x:v>DOC-SIM-0394923</x:v>
      </x:c>
      <x:c r="J375" t="n">
        <x:v>6850.61</x:v>
      </x:c>
      <x:c r="K375" t="n">
        <x:v>3897.76</x:v>
      </x:c>
      <x:c r="L375" t="n">
        <x:v>2952.85</x:v>
      </x:c>
      <x:c r="M375" t="str"/>
      <x:c r="N375" t="str">
        <x:v>SIMULADO</x:v>
      </x:c>
    </x:row>
    <x:row r="376">
      <x:c r="A376" t="str">
        <x:v>ALEATORIA</x:v>
      </x:c>
      <x:c r="B376" t="str">
        <x:v>ATV-0395860</x:v>
      </x:c>
      <x:c r="C376" t="str">
        <x:v>Obras em andamento</x:v>
      </x:c>
      <x:c r="D376" t="str">
        <x:v>Outras unidades</x:v>
      </x:c>
      <x:c r="E376" t="str">
        <x:v>2023-06-07</x:v>
      </x:c>
      <x:c r="F376" t="str">
        <x:v>2023-09-13</x:v>
      </x:c>
      <x:c r="G376" t="str">
        <x:v>ATIVO</x:v>
      </x:c>
      <x:c r="H376" t="str">
        <x:v>RESP-110</x:v>
      </x:c>
      <x:c r="I376" t="str">
        <x:v>DOC-SIM-0395860</x:v>
      </x:c>
      <x:c r="J376" t="n">
        <x:v>28841.47</x:v>
      </x:c>
      <x:c r="K376" t="n">
        <x:v>0</x:v>
      </x:c>
      <x:c r="L376" t="n">
        <x:v>28841.47</x:v>
      </x:c>
      <x:c r="M376" t="str"/>
      <x:c r="N376" t="str">
        <x:v>SIMULADO</x:v>
      </x:c>
    </x:row>
    <x:row r="377">
      <x:c r="A377" t="str">
        <x:v>ALEATORIA</x:v>
      </x:c>
      <x:c r="B377" t="str">
        <x:v>ATV-0415332</x:v>
      </x:c>
      <x:c r="C377" t="str">
        <x:v>Máquinas e equipamentos</x:v>
      </x:c>
      <x:c r="D377" t="str">
        <x:v>Outras unidades</x:v>
      </x:c>
      <x:c r="E377" t="str">
        <x:v>2014-03-20</x:v>
      </x:c>
      <x:c r="F377" t="str">
        <x:v>2014-08-26</x:v>
      </x:c>
      <x:c r="G377" t="str">
        <x:v>ATIVO</x:v>
      </x:c>
      <x:c r="H377" t="str">
        <x:v>RESP-082</x:v>
      </x:c>
      <x:c r="I377" t="str">
        <x:v>DOC-SIM-0415332</x:v>
      </x:c>
      <x:c r="J377" t="n">
        <x:v>54664.1</x:v>
      </x:c>
      <x:c r="K377" t="n">
        <x:v>13563.27</x:v>
      </x:c>
      <x:c r="L377" t="n">
        <x:v>41100.83</x:v>
      </x:c>
      <x:c r="M377" t="str"/>
      <x:c r="N377" t="str">
        <x:v>SIMULADO</x:v>
      </x:c>
    </x:row>
    <x:row r="378">
      <x:c r="A378" t="str">
        <x:v>ALEATORIA</x:v>
      </x:c>
      <x:c r="B378" t="str">
        <x:v>ATV-0417271</x:v>
      </x:c>
      <x:c r="C378" t="str">
        <x:v>Máquinas e equipamentos</x:v>
      </x:c>
      <x:c r="D378" t="str">
        <x:v>Operação logística</x:v>
      </x:c>
      <x:c r="E378" t="str">
        <x:v>2024-07-26</x:v>
      </x:c>
      <x:c r="F378" t="str">
        <x:v>2024-09-21</x:v>
      </x:c>
      <x:c r="G378" t="str">
        <x:v>ATIVO</x:v>
      </x:c>
      <x:c r="H378" t="str">
        <x:v>RESP-021</x:v>
      </x:c>
      <x:c r="I378" t="str">
        <x:v>DOC-SIM-0417271</x:v>
      </x:c>
      <x:c r="J378" t="n">
        <x:v>75391.38</x:v>
      </x:c>
      <x:c r="K378" t="n">
        <x:v>37121.64</x:v>
      </x:c>
      <x:c r="L378" t="n">
        <x:v>38269.74</x:v>
      </x:c>
      <x:c r="M378" t="str"/>
      <x:c r="N378" t="str">
        <x:v>SIMULADO</x:v>
      </x:c>
    </x:row>
    <x:row r="379">
      <x:c r="A379" t="str">
        <x:v>ALEATORIA</x:v>
      </x:c>
      <x:c r="B379" t="str">
        <x:v>ATV-0419191</x:v>
      </x:c>
      <x:c r="C379" t="str">
        <x:v>Obras em andamento</x:v>
      </x:c>
      <x:c r="D379" t="str">
        <x:v>Operação logística</x:v>
      </x:c>
      <x:c r="E379" t="str">
        <x:v>2019-04-14</x:v>
      </x:c>
      <x:c r="F379" t="str">
        <x:v>2019-06-27</x:v>
      </x:c>
      <x:c r="G379" t="str">
        <x:v>ATIVO</x:v>
      </x:c>
      <x:c r="H379" t="str">
        <x:v>RESP-066</x:v>
      </x:c>
      <x:c r="I379" t="str">
        <x:v>DOC-SIM-0419191</x:v>
      </x:c>
      <x:c r="J379" t="n">
        <x:v>33503.42</x:v>
      </x:c>
      <x:c r="K379" t="n">
        <x:v>0</x:v>
      </x:c>
      <x:c r="L379" t="n">
        <x:v>33503.42</x:v>
      </x:c>
      <x:c r="M379" t="str"/>
      <x:c r="N379" t="str">
        <x:v>SIMULADO</x:v>
      </x:c>
    </x:row>
    <x:row r="380">
      <x:c r="A380" t="str">
        <x:v>ALEATORIA</x:v>
      </x:c>
      <x:c r="B380" t="str">
        <x:v>ATV-0420837</x:v>
      </x:c>
      <x:c r="C380" t="str">
        <x:v>Veículos e equipamentos móveis</x:v>
      </x:c>
      <x:c r="D380" t="str">
        <x:v>Congonhas/MG</x:v>
      </x:c>
      <x:c r="E380" t="str">
        <x:v>2013-08-18</x:v>
      </x:c>
      <x:c r="F380" t="str">
        <x:v>2013-12-21</x:v>
      </x:c>
      <x:c r="G380" t="str">
        <x:v>ATIVO</x:v>
      </x:c>
      <x:c r="H380" t="str">
        <x:v>RESP-087</x:v>
      </x:c>
      <x:c r="I380" t="str">
        <x:v>DOC-SIM-0420837</x:v>
      </x:c>
      <x:c r="J380" t="n">
        <x:v>82290.71</x:v>
      </x:c>
      <x:c r="K380" t="n">
        <x:v>43290.37</x:v>
      </x:c>
      <x:c r="L380" t="n">
        <x:v>39000.34</x:v>
      </x:c>
      <x:c r="M380" t="str"/>
      <x:c r="N380" t="str">
        <x:v>SIMULADO</x:v>
      </x:c>
    </x:row>
    <x:row r="381">
      <x:c r="A381" t="str">
        <x:v>ALEATORIA</x:v>
      </x:c>
      <x:c r="B381" t="str">
        <x:v>ATV-0432214</x:v>
      </x:c>
      <x:c r="C381" t="str">
        <x:v>Infraestrutura de mina</x:v>
      </x:c>
      <x:c r="D381" t="str">
        <x:v>Arcos/MG</x:v>
      </x:c>
      <x:c r="E381" t="str">
        <x:v>2015-08-27</x:v>
      </x:c>
      <x:c r="F381" t="str">
        <x:v>2015-11-29</x:v>
      </x:c>
      <x:c r="G381" t="str">
        <x:v>ATIVO</x:v>
      </x:c>
      <x:c r="H381" t="str">
        <x:v>RESP-089</x:v>
      </x:c>
      <x:c r="I381" t="str">
        <x:v>DOC-SIM-0432214</x:v>
      </x:c>
      <x:c r="J381" t="n">
        <x:v>11474.12</x:v>
      </x:c>
      <x:c r="K381" t="n">
        <x:v>2367.67</x:v>
      </x:c>
      <x:c r="L381" t="n">
        <x:v>9106.45</x:v>
      </x:c>
      <x:c r="M381" t="str"/>
      <x:c r="N381" t="str">
        <x:v>SIMULADO</x:v>
      </x:c>
    </x:row>
    <x:row r="382">
      <x:c r="A382" t="str">
        <x:v>ALEATORIA</x:v>
      </x:c>
      <x:c r="B382" t="str">
        <x:v>ATV-0438912</x:v>
      </x:c>
      <x:c r="C382" t="str">
        <x:v>Edificações</x:v>
      </x:c>
      <x:c r="D382" t="str">
        <x:v>Outras unidades</x:v>
      </x:c>
      <x:c r="E382" t="str">
        <x:v>2016-08-02</x:v>
      </x:c>
      <x:c r="F382" t="str">
        <x:v>2016-12-04</x:v>
      </x:c>
      <x:c r="G382" t="str">
        <x:v>ATIVO</x:v>
      </x:c>
      <x:c r="H382" t="str">
        <x:v>RESP-037</x:v>
      </x:c>
      <x:c r="I382" t="str">
        <x:v>DOC-SIM-0438912</x:v>
      </x:c>
      <x:c r="J382" t="n">
        <x:v>59723.75</x:v>
      </x:c>
      <x:c r="K382" t="n">
        <x:v>18248.92</x:v>
      </x:c>
      <x:c r="L382" t="n">
        <x:v>41474.83</x:v>
      </x:c>
      <x:c r="M382" t="str"/>
      <x:c r="N382" t="str">
        <x:v>SIMULADO</x:v>
      </x:c>
    </x:row>
    <x:row r="383">
      <x:c r="A383" t="str">
        <x:v>ALEATORIA</x:v>
      </x:c>
      <x:c r="B383" t="str">
        <x:v>ATV-0438914</x:v>
      </x:c>
      <x:c r="C383" t="str">
        <x:v>Direito de uso</x:v>
      </x:c>
      <x:c r="D383" t="str">
        <x:v>Arcos/MG</x:v>
      </x:c>
      <x:c r="E383" t="str">
        <x:v>2017-02-20</x:v>
      </x:c>
      <x:c r="F383" t="str">
        <x:v>2017-07-20</x:v>
      </x:c>
      <x:c r="G383" t="str">
        <x:v>ATIVO</x:v>
      </x:c>
      <x:c r="H383" t="str">
        <x:v>RESP-039</x:v>
      </x:c>
      <x:c r="I383" t="str">
        <x:v>DOC-SIM-0438914</x:v>
      </x:c>
      <x:c r="J383" t="n">
        <x:v>71252.16</x:v>
      </x:c>
      <x:c r="K383" t="n">
        <x:v>40932.09</x:v>
      </x:c>
      <x:c r="L383" t="n">
        <x:v>30320.07</x:v>
      </x:c>
      <x:c r="M383" t="str"/>
      <x:c r="N383" t="str">
        <x:v>SIMULADO</x:v>
      </x:c>
    </x:row>
    <x:row r="384">
      <x:c r="A384" t="str">
        <x:v>ALEATORIA</x:v>
      </x:c>
      <x:c r="B384" t="str">
        <x:v>ATV-0454210</x:v>
      </x:c>
      <x:c r="C384" t="str">
        <x:v>Máquinas e equipamentos</x:v>
      </x:c>
      <x:c r="D384" t="str">
        <x:v>Arcos/MG</x:v>
      </x:c>
      <x:c r="E384" t="str">
        <x:v>2018-11-16</x:v>
      </x:c>
      <x:c r="F384" t="str">
        <x:v>2019-01-26</x:v>
      </x:c>
      <x:c r="G384" t="str">
        <x:v>ATIVO</x:v>
      </x:c>
      <x:c r="H384" t="str">
        <x:v>RESP-085</x:v>
      </x:c>
      <x:c r="I384" t="str">
        <x:v>DOC-SIM-0454210</x:v>
      </x:c>
      <x:c r="J384" t="n">
        <x:v>6935.12</x:v>
      </x:c>
      <x:c r="K384" t="n">
        <x:v>1007.66</x:v>
      </x:c>
      <x:c r="L384" t="n">
        <x:v>5927.46</x:v>
      </x:c>
      <x:c r="M384" t="str"/>
      <x:c r="N384" t="str">
        <x:v>SIMULADO</x:v>
      </x:c>
    </x:row>
    <x:row r="385">
      <x:c r="A385" t="str">
        <x:v>ALEATORIA</x:v>
      </x:c>
      <x:c r="B385" t="str">
        <x:v>ATV-0457686</x:v>
      </x:c>
      <x:c r="C385" t="str">
        <x:v>Edificações</x:v>
      </x:c>
      <x:c r="D385" t="str">
        <x:v>Arcos/MG</x:v>
      </x:c>
      <x:c r="E385" t="str">
        <x:v>2024-06-17</x:v>
      </x:c>
      <x:c r="F385" t="str">
        <x:v>2024-10-25</x:v>
      </x:c>
      <x:c r="G385" t="str">
        <x:v>ATIVO</x:v>
      </x:c>
      <x:c r="H385" t="str">
        <x:v>RESP-061</x:v>
      </x:c>
      <x:c r="I385" t="str">
        <x:v>DOC-SIM-0457686</x:v>
      </x:c>
      <x:c r="J385" t="n">
        <x:v>9780.52</x:v>
      </x:c>
      <x:c r="K385" t="n">
        <x:v>6018.78</x:v>
      </x:c>
      <x:c r="L385" t="n">
        <x:v>3761.74</x:v>
      </x:c>
      <x:c r="M385" t="str"/>
      <x:c r="N385" t="str">
        <x:v>SIMULADO</x:v>
      </x:c>
    </x:row>
    <x:row r="386">
      <x:c r="A386" t="str">
        <x:v>ALEATORIA</x:v>
      </x:c>
      <x:c r="B386" t="str">
        <x:v>ATV-0461515</x:v>
      </x:c>
      <x:c r="C386" t="str">
        <x:v>Edificações</x:v>
      </x:c>
      <x:c r="D386" t="str">
        <x:v>Operação logística</x:v>
      </x:c>
      <x:c r="E386" t="str">
        <x:v>2016-06-28</x:v>
      </x:c>
      <x:c r="F386" t="str">
        <x:v>2016-09-30</x:v>
      </x:c>
      <x:c r="G386" t="str">
        <x:v>ATIVO</x:v>
      </x:c>
      <x:c r="H386" t="str">
        <x:v>RESP-015</x:v>
      </x:c>
      <x:c r="I386" t="str">
        <x:v>DOC-SIM-0461515</x:v>
      </x:c>
      <x:c r="J386" t="n">
        <x:v>62150.05</x:v>
      </x:c>
      <x:c r="K386" t="n">
        <x:v>19287.94</x:v>
      </x:c>
      <x:c r="L386" t="n">
        <x:v>42862.11</x:v>
      </x:c>
      <x:c r="M386" t="str"/>
      <x:c r="N386" t="str">
        <x:v>SIMULADO</x:v>
      </x:c>
    </x:row>
    <x:row r="387">
      <x:c r="A387" t="str">
        <x:v>ALEATORIA</x:v>
      </x:c>
      <x:c r="B387" t="str">
        <x:v>ATV-0464478</x:v>
      </x:c>
      <x:c r="C387" t="str">
        <x:v>Direito de uso</x:v>
      </x:c>
      <x:c r="D387" t="str">
        <x:v>Arcos/MG</x:v>
      </x:c>
      <x:c r="E387" t="str">
        <x:v>2016-05-27</x:v>
      </x:c>
      <x:c r="F387" t="str">
        <x:v>2016-10-07</x:v>
      </x:c>
      <x:c r="G387" t="str">
        <x:v>ATIVO</x:v>
      </x:c>
      <x:c r="H387" t="str">
        <x:v>RESP-103</x:v>
      </x:c>
      <x:c r="I387" t="str">
        <x:v>DOC-SIM-0464478</x:v>
      </x:c>
      <x:c r="J387" t="n">
        <x:v>37257.58</x:v>
      </x:c>
      <x:c r="K387" t="n">
        <x:v>14813.25</x:v>
      </x:c>
      <x:c r="L387" t="n">
        <x:v>22444.33</x:v>
      </x:c>
      <x:c r="M387" t="str"/>
      <x:c r="N387" t="str">
        <x:v>SIMULADO</x:v>
      </x:c>
    </x:row>
    <x:row r="388">
      <x:c r="A388" t="str">
        <x:v>ALEATORIA</x:v>
      </x:c>
      <x:c r="B388" t="str">
        <x:v>ATV-0465336</x:v>
      </x:c>
      <x:c r="C388" t="str">
        <x:v>Veículos e equipamentos móveis</x:v>
      </x:c>
      <x:c r="D388" t="str">
        <x:v>Outras unidades</x:v>
      </x:c>
      <x:c r="E388" t="str">
        <x:v>2021-04-08</x:v>
      </x:c>
      <x:c r="F388" t="str">
        <x:v>2021-08-06</x:v>
      </x:c>
      <x:c r="G388" t="str">
        <x:v>ATIVO</x:v>
      </x:c>
      <x:c r="H388" t="str">
        <x:v>RESP-086</x:v>
      </x:c>
      <x:c r="I388" t="str">
        <x:v>DOC-SIM-0465336</x:v>
      </x:c>
      <x:c r="J388" t="n">
        <x:v>38305.44</x:v>
      </x:c>
      <x:c r="K388" t="n">
        <x:v>13269.2</x:v>
      </x:c>
      <x:c r="L388" t="n">
        <x:v>25036.24</x:v>
      </x:c>
      <x:c r="M388" t="str"/>
      <x:c r="N388" t="str">
        <x:v>SIMULADO</x:v>
      </x:c>
    </x:row>
    <x:row r="389">
      <x:c r="A389" t="str">
        <x:v>ALEATORIA</x:v>
      </x:c>
      <x:c r="B389" t="str">
        <x:v>ATV-0468379</x:v>
      </x:c>
      <x:c r="C389" t="str">
        <x:v>Instalações industriais</x:v>
      </x:c>
      <x:c r="D389" t="str">
        <x:v>Operação logística</x:v>
      </x:c>
      <x:c r="E389" t="str">
        <x:v>2022-10-19</x:v>
      </x:c>
      <x:c r="F389" t="str">
        <x:v>2022-12-29</x:v>
      </x:c>
      <x:c r="G389" t="str">
        <x:v>ATIVO</x:v>
      </x:c>
      <x:c r="H389" t="str">
        <x:v>RESP-004</x:v>
      </x:c>
      <x:c r="I389" t="str">
        <x:v>DOC-SIM-0468379</x:v>
      </x:c>
      <x:c r="J389" t="n">
        <x:v>25303.95</x:v>
      </x:c>
      <x:c r="K389" t="n">
        <x:v>10761.45</x:v>
      </x:c>
      <x:c r="L389" t="n">
        <x:v>14542.5</x:v>
      </x:c>
      <x:c r="M389" t="str"/>
      <x:c r="N389" t="str">
        <x:v>SIMULADO</x:v>
      </x:c>
    </x:row>
    <x:row r="390">
      <x:c r="A390" t="str">
        <x:v>ALEATORIA</x:v>
      </x:c>
      <x:c r="B390" t="str">
        <x:v>ATV-0469260</x:v>
      </x:c>
      <x:c r="C390" t="str">
        <x:v>Máquinas e equipamentos</x:v>
      </x:c>
      <x:c r="D390" t="str">
        <x:v>Outras unidades</x:v>
      </x:c>
      <x:c r="E390" t="str">
        <x:v>2021-03-19</x:v>
      </x:c>
      <x:c r="F390" t="str">
        <x:v>2021-06-03</x:v>
      </x:c>
      <x:c r="G390" t="str">
        <x:v>ATIVO</x:v>
      </x:c>
      <x:c r="H390" t="str">
        <x:v>RESP-010</x:v>
      </x:c>
      <x:c r="I390" t="str">
        <x:v>DOC-SIM-0469260</x:v>
      </x:c>
      <x:c r="J390" t="n">
        <x:v>22293.86</x:v>
      </x:c>
      <x:c r="K390" t="n">
        <x:v>3715.64</x:v>
      </x:c>
      <x:c r="L390" t="n">
        <x:v>18578.22</x:v>
      </x:c>
      <x:c r="M390" t="str"/>
      <x:c r="N390" t="str">
        <x:v>SIMULADO</x:v>
      </x:c>
    </x:row>
    <x:row r="391">
      <x:c r="A391" t="str">
        <x:v>ALEATORIA</x:v>
      </x:c>
      <x:c r="B391" t="str">
        <x:v>ATV-0474930</x:v>
      </x:c>
      <x:c r="C391" t="str">
        <x:v>Máquinas e equipamentos</x:v>
      </x:c>
      <x:c r="D391" t="str">
        <x:v>Arcos/MG</x:v>
      </x:c>
      <x:c r="E391" t="str">
        <x:v>2020-07-09</x:v>
      </x:c>
      <x:c r="F391" t="str">
        <x:v>2020-07-30</x:v>
      </x:c>
      <x:c r="G391" t="str">
        <x:v>ATIVO</x:v>
      </x:c>
      <x:c r="H391" t="str">
        <x:v>RESP-055</x:v>
      </x:c>
      <x:c r="I391" t="str">
        <x:v>DOC-SIM-0474930</x:v>
      </x:c>
      <x:c r="J391" t="n">
        <x:v>40135.2</x:v>
      </x:c>
      <x:c r="K391" t="n">
        <x:v>17068.99</x:v>
      </x:c>
      <x:c r="L391" t="n">
        <x:v>23066.21</x:v>
      </x:c>
      <x:c r="M391" t="str"/>
      <x:c r="N391" t="str">
        <x:v>SIMULADO</x:v>
      </x:c>
    </x:row>
    <x:row r="392">
      <x:c r="A392" t="str">
        <x:v>ALEATORIA</x:v>
      </x:c>
      <x:c r="B392" t="str">
        <x:v>ATV-0475278</x:v>
      </x:c>
      <x:c r="C392" t="str">
        <x:v>Infraestrutura de mina</x:v>
      </x:c>
      <x:c r="D392" t="str">
        <x:v>Arcos/MG</x:v>
      </x:c>
      <x:c r="E392" t="str">
        <x:v>2025-08-27</x:v>
      </x:c>
      <x:c r="F392" t="str">
        <x:v>2025-11-07</x:v>
      </x:c>
      <x:c r="G392" t="str">
        <x:v>ATIVO</x:v>
      </x:c>
      <x:c r="H392" t="str">
        <x:v>RESP-028</x:v>
      </x:c>
      <x:c r="I392" t="str">
        <x:v>DOC-SIM-0475278</x:v>
      </x:c>
      <x:c r="J392" t="n">
        <x:v>57162.47</x:v>
      </x:c>
      <x:c r="K392" t="n">
        <x:v>31643.51</x:v>
      </x:c>
      <x:c r="L392" t="n">
        <x:v>25518.96</x:v>
      </x:c>
      <x:c r="M392" t="str"/>
      <x:c r="N392" t="str">
        <x:v>SIMULADO</x:v>
      </x:c>
    </x:row>
    <x:row r="393">
      <x:c r="A393" t="str">
        <x:v>ALEATORIA</x:v>
      </x:c>
      <x:c r="B393" t="str">
        <x:v>ATV-0476276</x:v>
      </x:c>
      <x:c r="C393" t="str">
        <x:v>Obras em andamento</x:v>
      </x:c>
      <x:c r="D393" t="str">
        <x:v>Outras unidades</x:v>
      </x:c>
      <x:c r="E393" t="str">
        <x:v>2016-04-15</x:v>
      </x:c>
      <x:c r="F393" t="str">
        <x:v>2016-04-27</x:v>
      </x:c>
      <x:c r="G393" t="str">
        <x:v>ATIVO</x:v>
      </x:c>
      <x:c r="H393" t="str">
        <x:v>RESP-026</x:v>
      </x:c>
      <x:c r="I393" t="str">
        <x:v>DOC-SIM-0476276</x:v>
      </x:c>
      <x:c r="J393" t="n">
        <x:v>30894.12</x:v>
      </x:c>
      <x:c r="K393" t="n">
        <x:v>0</x:v>
      </x:c>
      <x:c r="L393" t="n">
        <x:v>30894.12</x:v>
      </x:c>
      <x:c r="M393" t="str"/>
      <x:c r="N393" t="str">
        <x:v>SIMULADO</x:v>
      </x:c>
    </x:row>
    <x:row r="394">
      <x:c r="A394" t="str">
        <x:v>ALEATORIA</x:v>
      </x:c>
      <x:c r="B394" t="str">
        <x:v>ATV-0478145</x:v>
      </x:c>
      <x:c r="C394" t="str">
        <x:v>Obras em andamento</x:v>
      </x:c>
      <x:c r="D394" t="str">
        <x:v>Congonhas/MG</x:v>
      </x:c>
      <x:c r="E394" t="str">
        <x:v>2019-06-16</x:v>
      </x:c>
      <x:c r="F394" t="str">
        <x:v>2019-11-11</x:v>
      </x:c>
      <x:c r="G394" t="str">
        <x:v>ATIVO</x:v>
      </x:c>
      <x:c r="H394" t="str">
        <x:v>RESP-020</x:v>
      </x:c>
      <x:c r="I394" t="str">
        <x:v>DOC-SIM-0478145</x:v>
      </x:c>
      <x:c r="J394" t="n">
        <x:v>17008.29</x:v>
      </x:c>
      <x:c r="K394" t="n">
        <x:v>0</x:v>
      </x:c>
      <x:c r="L394" t="n">
        <x:v>17008.29</x:v>
      </x:c>
      <x:c r="M394" t="str"/>
      <x:c r="N394" t="str">
        <x:v>SIMULADO</x:v>
      </x:c>
    </x:row>
    <x:row r="395">
      <x:c r="A395" t="str">
        <x:v>ALEATORIA</x:v>
      </x:c>
      <x:c r="B395" t="str">
        <x:v>ATV-0479629</x:v>
      </x:c>
      <x:c r="C395" t="str">
        <x:v>Obras em andamento</x:v>
      </x:c>
      <x:c r="D395" t="str">
        <x:v>Congonhas/MG</x:v>
      </x:c>
      <x:c r="E395" t="str">
        <x:v>2025-11-19</x:v>
      </x:c>
      <x:c r="F395" t="str">
        <x:v>2025-11-23</x:v>
      </x:c>
      <x:c r="G395" t="str">
        <x:v>ATIVO</x:v>
      </x:c>
      <x:c r="H395" t="str">
        <x:v>RESP-004</x:v>
      </x:c>
      <x:c r="I395" t="str">
        <x:v>DOC-SIM-0479629</x:v>
      </x:c>
      <x:c r="J395" t="n">
        <x:v>22383.45</x:v>
      </x:c>
      <x:c r="K395" t="n">
        <x:v>0</x:v>
      </x:c>
      <x:c r="L395" t="n">
        <x:v>22383.45</x:v>
      </x:c>
      <x:c r="M395" t="str"/>
      <x:c r="N395" t="str">
        <x:v>SIMULADO</x:v>
      </x:c>
    </x:row>
    <x:row r="396">
      <x:c r="A396" t="str">
        <x:v>ALEATORIA</x:v>
      </x:c>
      <x:c r="B396" t="str">
        <x:v>ATV-0479722</x:v>
      </x:c>
      <x:c r="C396" t="str">
        <x:v>Edificações</x:v>
      </x:c>
      <x:c r="D396" t="str">
        <x:v>Arcos/MG</x:v>
      </x:c>
      <x:c r="E396" t="str">
        <x:v>2021-03-05</x:v>
      </x:c>
      <x:c r="F396" t="str">
        <x:v>2021-08-21</x:v>
      </x:c>
      <x:c r="G396" t="str">
        <x:v>ATIVO</x:v>
      </x:c>
      <x:c r="H396" t="str">
        <x:v>RESP-097</x:v>
      </x:c>
      <x:c r="I396" t="str">
        <x:v>DOC-SIM-0479722</x:v>
      </x:c>
      <x:c r="J396" t="n">
        <x:v>46529.92</x:v>
      </x:c>
      <x:c r="K396" t="n">
        <x:v>8390.64</x:v>
      </x:c>
      <x:c r="L396" t="n">
        <x:v>38139.28</x:v>
      </x:c>
      <x:c r="M396" t="str"/>
      <x:c r="N396" t="str">
        <x:v>SIMULADO</x:v>
      </x:c>
    </x:row>
    <x:row r="397">
      <x:c r="A397" t="str">
        <x:v>ALEATORIA</x:v>
      </x:c>
      <x:c r="B397" t="str">
        <x:v>ATV-0480290</x:v>
      </x:c>
      <x:c r="C397" t="str">
        <x:v>Infraestrutura de mina</x:v>
      </x:c>
      <x:c r="D397" t="str">
        <x:v>Arcos/MG</x:v>
      </x:c>
      <x:c r="E397" t="str">
        <x:v>2018-09-14</x:v>
      </x:c>
      <x:c r="F397" t="str">
        <x:v>2018-11-20</x:v>
      </x:c>
      <x:c r="G397" t="str">
        <x:v>ATIVO</x:v>
      </x:c>
      <x:c r="H397" t="str">
        <x:v>RESP-040</x:v>
      </x:c>
      <x:c r="I397" t="str">
        <x:v>DOC-SIM-0480290</x:v>
      </x:c>
      <x:c r="J397" t="n">
        <x:v>57683.62</x:v>
      </x:c>
      <x:c r="K397" t="n">
        <x:v>29951.11</x:v>
      </x:c>
      <x:c r="L397" t="n">
        <x:v>27732.51</x:v>
      </x:c>
      <x:c r="M397" t="str"/>
      <x:c r="N397" t="str">
        <x:v>SIMULADO</x:v>
      </x:c>
    </x:row>
    <x:row r="398">
      <x:c r="A398" t="str">
        <x:v>ALEATORIA</x:v>
      </x:c>
      <x:c r="B398" t="str">
        <x:v>ATV-0490030</x:v>
      </x:c>
      <x:c r="C398" t="str">
        <x:v>Instalações industriais</x:v>
      </x:c>
      <x:c r="D398" t="str">
        <x:v>Arcos/MG</x:v>
      </x:c>
      <x:c r="E398" t="str">
        <x:v>2025-07-22</x:v>
      </x:c>
      <x:c r="F398" t="str">
        <x:v>2026-01-04</x:v>
      </x:c>
      <x:c r="G398" t="str">
        <x:v>ATIVO</x:v>
      </x:c>
      <x:c r="H398" t="str">
        <x:v>RESP-030</x:v>
      </x:c>
      <x:c r="I398" t="str">
        <x:v>DOC-SIM-0490030</x:v>
      </x:c>
      <x:c r="J398" t="n">
        <x:v>58524.31</x:v>
      </x:c>
      <x:c r="K398" t="n">
        <x:v>23894.54</x:v>
      </x:c>
      <x:c r="L398" t="n">
        <x:v>34629.77</x:v>
      </x:c>
      <x:c r="M398" t="str"/>
      <x:c r="N398" t="str">
        <x:v>SIMULADO</x:v>
      </x:c>
    </x:row>
    <x:row r="399">
      <x:c r="A399" t="str">
        <x:v>ALEATORIA</x:v>
      </x:c>
      <x:c r="B399" t="str">
        <x:v>ATV-0493743</x:v>
      </x:c>
      <x:c r="C399" t="str">
        <x:v>Edificações</x:v>
      </x:c>
      <x:c r="D399" t="str">
        <x:v>Operação logística</x:v>
      </x:c>
      <x:c r="E399" t="str">
        <x:v>2020-06-16</x:v>
      </x:c>
      <x:c r="F399" t="str">
        <x:v>2020-08-07</x:v>
      </x:c>
      <x:c r="G399" t="str">
        <x:v>ATIVO</x:v>
      </x:c>
      <x:c r="H399" t="str">
        <x:v>RESP-118</x:v>
      </x:c>
      <x:c r="I399" t="str">
        <x:v>DOC-SIM-0493743</x:v>
      </x:c>
      <x:c r="J399" t="n">
        <x:v>56988.73</x:v>
      </x:c>
      <x:c r="K399" t="n">
        <x:v>33144.07</x:v>
      </x:c>
      <x:c r="L399" t="n">
        <x:v>23844.66</x:v>
      </x:c>
      <x:c r="M399" t="str"/>
      <x:c r="N399" t="str">
        <x:v>SIMULADO</x:v>
      </x:c>
    </x:row>
    <x:row r="400">
      <x:c r="A400" t="str">
        <x:v>ALEATORIA</x:v>
      </x:c>
      <x:c r="B400" t="str">
        <x:v>ATV-0496436</x:v>
      </x:c>
      <x:c r="C400" t="str">
        <x:v>Obras em andamento</x:v>
      </x:c>
      <x:c r="D400" t="str">
        <x:v>Outras unidades</x:v>
      </x:c>
      <x:c r="E400" t="str">
        <x:v>2013-05-23</x:v>
      </x:c>
      <x:c r="F400" t="str">
        <x:v>2013-05-30</x:v>
      </x:c>
      <x:c r="G400" t="str">
        <x:v>ATIVO</x:v>
      </x:c>
      <x:c r="H400" t="str">
        <x:v>RESP-061</x:v>
      </x:c>
      <x:c r="I400" t="str">
        <x:v>DOC-SIM-0496436</x:v>
      </x:c>
      <x:c r="J400" t="n">
        <x:v>39587.44</x:v>
      </x:c>
      <x:c r="K400" t="n">
        <x:v>0</x:v>
      </x:c>
      <x:c r="L400" t="n">
        <x:v>39587.44</x:v>
      </x:c>
      <x:c r="M400" t="str"/>
      <x:c r="N400" t="str">
        <x:v>SIMULADO</x:v>
      </x:c>
    </x:row>
    <x:row r="401">
      <x:c r="A401" t="str">
        <x:v>ALEATORIA</x:v>
      </x:c>
      <x:c r="B401" t="str">
        <x:v>ATV-0497999</x:v>
      </x:c>
      <x:c r="C401" t="str">
        <x:v>Edificações</x:v>
      </x:c>
      <x:c r="D401" t="str">
        <x:v>Operação logística</x:v>
      </x:c>
      <x:c r="E401" t="str">
        <x:v>2015-06-15</x:v>
      </x:c>
      <x:c r="F401" t="str">
        <x:v>2015-10-26</x:v>
      </x:c>
      <x:c r="G401" t="str">
        <x:v>ATIVO</x:v>
      </x:c>
      <x:c r="H401" t="str">
        <x:v>RESP-124</x:v>
      </x:c>
      <x:c r="I401" t="str">
        <x:v>DOC-SIM-0497999</x:v>
      </x:c>
      <x:c r="J401" t="n">
        <x:v>15710.15</x:v>
      </x:c>
      <x:c r="K401" t="n">
        <x:v>6468.88</x:v>
      </x:c>
      <x:c r="L401" t="n">
        <x:v>9241.27</x:v>
      </x:c>
      <x:c r="M401" t="str"/>
      <x:c r="N401" t="str">
        <x:v>SIMULADO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Fonte</x:v>
      </x:c>
      <x:c r="B1" s="6" t="str">
        <x:v>Página impressa</x:v>
      </x:c>
      <x:c r="C1" s="6" t="str">
        <x:v>Uso</x:v>
      </x:c>
      <x:c r="D1" s="6"/>
      <x:c r="E1" s="6"/>
      <x:c r="F1" s="6"/>
      <x:c r="G1" s="6"/>
      <x:c r="H1" s="6"/>
    </x:row>
    <x:row r="2">
      <x:c r="A2" t="str">
        <x:v>DFP CSN Mineração 2025 v.2</x:v>
      </x:c>
      <x:c r="B2" t="str">
        <x:v>11</x:v>
      </x:c>
      <x:c r="C2" t="str">
        <x:v>BP consolidado 2025/2024</x:v>
      </x:c>
    </x:row>
    <x:row r="3">
      <x:c r="A3" t="str">
        <x:v>DFP CSN Mineração 2025 v.2</x:v>
      </x:c>
      <x:c r="B3" t="str">
        <x:v>13</x:v>
      </x:c>
      <x:c r="C3" t="str">
        <x:v>DRE consolidada 2025/2024</x:v>
      </x:c>
    </x:row>
    <x:row r="4">
      <x:c r="A4" t="str">
        <x:v>DFP CSN Mineração 2025 v.2</x:v>
      </x:c>
      <x:c r="B4" t="str">
        <x:v>110 em diante</x:v>
      </x:c>
      <x:c r="C4" t="str">
        <x:v>Relatório auditor independente</x:v>
      </x:c>
    </x:row>
    <x:row r="5">
      <x:c r="A5" t="str">
        <x:v>Manifesto sintético Etapa 3</x:v>
      </x:c>
      <x:c r="B5" t="str">
        <x:v>arquivo JSON</x:v>
      </x:c>
      <x:c r="C5" t="str">
        <x:v>Reconciliação matemática</x:v>
      </x:c>
    </x:row>
    <x:row r="6">
      <x:c r="A6" t="str">
        <x:v>Amostras Etapa 3</x:v>
      </x:c>
      <x:c r="B6" t="str">
        <x:v>arquivo CSV</x:v>
      </x:c>
      <x:c r="C6" t="str">
        <x:v>Testes simulados</x:v>
      </x:c>
    </x:row>
  </x:sheetData>
  <x:pageMargins left="0.7" right="0.7" top="0.75" bottom="0.75" header="0.3" footer="0.3"/>
</x:worksheet>
</file>