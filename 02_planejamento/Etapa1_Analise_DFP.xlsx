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b66bde75e248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759bc08c11864320"/>
    <x:sheet xmlns:r="http://schemas.openxmlformats.org/officeDocument/2006/relationships" name="Fontes" sheetId="2" r:id="Rfea732db75bb43e5"/>
    <x:sheet xmlns:r="http://schemas.openxmlformats.org/officeDocument/2006/relationships" name="BP Individual - Ativo" sheetId="3" r:id="Rad3bd4101d4949c9"/>
    <x:sheet xmlns:r="http://schemas.openxmlformats.org/officeDocument/2006/relationships" name="BP Individual - Passivo" sheetId="4" r:id="R6bcfb30d7aa14cc5"/>
    <x:sheet xmlns:r="http://schemas.openxmlformats.org/officeDocument/2006/relationships" name="DRE Individual" sheetId="5" r:id="R856f02a7821a4b73"/>
    <x:sheet xmlns:r="http://schemas.openxmlformats.org/officeDocument/2006/relationships" name="BP Consolidado - Ativo" sheetId="6" r:id="R684677f0cdd142a8"/>
    <x:sheet xmlns:r="http://schemas.openxmlformats.org/officeDocument/2006/relationships" name="BP Consolidado - Passivo" sheetId="7" r:id="R5aa9bf0d3d95478b"/>
    <x:sheet xmlns:r="http://schemas.openxmlformats.org/officeDocument/2006/relationships" name="DRE Consolidada" sheetId="8" r:id="R1d4a8d1db5624791"/>
    <x:sheet xmlns:r="http://schemas.openxmlformats.org/officeDocument/2006/relationships" name="Conta foco" sheetId="9" r:id="R24aecb92988d443c"/>
    <x:sheet xmlns:r="http://schemas.openxmlformats.org/officeDocument/2006/relationships" name="Riscos preliminares" sheetId="10" r:id="R907fdd68068e4d8a"/>
    <x:sheet xmlns:r="http://schemas.openxmlformats.org/officeDocument/2006/relationships" name="Controle do projeto" sheetId="11" r:id="Rbc84281897514f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[Red](#,##0);–"/>
    <x:numFmt numFmtId="201" formatCode="0.0%;[Red](0.0%);–"/>
    <x:numFmt numFmtId="202" formatCode="#,##0"/>
    <x:numFmt numFmtId="203" formatCode="0.0%"/>
  </x:numFmts>
  <x:fonts count="4">
    <x:font>
      <x:sz val="11"/>
      <x:name val="Carlito"/>
    </x:font>
    <x:font>
      <x:b/>
      <x:sz val="15"/>
      <x:color rgb="FFFFFFFF"/>
      <x:name val="Carlito"/>
    </x:font>
    <x:font>
      <x:sz val="11"/>
      <x:color rgb="FF18324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E8F1F5"/>
      </x:patternFill>
    </x:fill>
    <x:fill>
      <x:patternFill patternType="solid">
        <x:fgColor rgb="FF087E83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b550ad4d694f9e" /><Relationship Type="http://schemas.openxmlformats.org/officeDocument/2006/relationships/theme" Target="/xl/theme/theme1.xml" Id="R559ad5c47afb4743" /><Relationship Type="http://schemas.openxmlformats.org/officeDocument/2006/relationships/sharedStrings" Target="/xl/sharedStrings.xml" Id="R9d68b183d5bd4521" /><Relationship Type="http://schemas.openxmlformats.org/officeDocument/2006/relationships/worksheet" Target="/xl/worksheets/sheet1.xml" Id="R759bc08c11864320" /><Relationship Type="http://schemas.openxmlformats.org/officeDocument/2006/relationships/worksheet" Target="/xl/worksheets/sheet2.xml" Id="Rfea732db75bb43e5" /><Relationship Type="http://schemas.openxmlformats.org/officeDocument/2006/relationships/worksheet" Target="/xl/worksheets/sheet3.xml" Id="Rad3bd4101d4949c9" /><Relationship Type="http://schemas.openxmlformats.org/officeDocument/2006/relationships/worksheet" Target="/xl/worksheets/sheet4.xml" Id="R6bcfb30d7aa14cc5" /><Relationship Type="http://schemas.openxmlformats.org/officeDocument/2006/relationships/worksheet" Target="/xl/worksheets/sheet5.xml" Id="R856f02a7821a4b73" /><Relationship Type="http://schemas.openxmlformats.org/officeDocument/2006/relationships/worksheet" Target="/xl/worksheets/sheet6.xml" Id="R684677f0cdd142a8" /><Relationship Type="http://schemas.openxmlformats.org/officeDocument/2006/relationships/worksheet" Target="/xl/worksheets/sheet7.xml" Id="R5aa9bf0d3d95478b" /><Relationship Type="http://schemas.openxmlformats.org/officeDocument/2006/relationships/worksheet" Target="/xl/worksheets/sheet8.xml" Id="R1d4a8d1db5624791" /><Relationship Type="http://schemas.openxmlformats.org/officeDocument/2006/relationships/worksheet" Target="/xl/worksheets/sheet9.xml" Id="R24aecb92988d443c" /><Relationship Type="http://schemas.openxmlformats.org/officeDocument/2006/relationships/worksheet" Target="/xl/worksheets/sheet10.xml" Id="R907fdd68068e4d8a" /><Relationship Type="http://schemas.openxmlformats.org/officeDocument/2006/relationships/worksheet" Target="/xl/worksheets/sheet11.xml" Id="Rbc84281897514f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12" hidden="0" customWidth="1"/>
  </x:cols>
  <x:sheetData>
    <x:row r="1" ht="32" customHeight="1">
      <x:c r="A1" s="3" t="str">
        <x:v>DOSSIÊ DE AUDITORIA | CSN MINERAÇÃO S.A.</x:v>
      </x:c>
      <x:c r="B1" s="3"/>
    </x:row>
    <x:row r="2" ht="25" customHeight="1">
      <x:c r="A2" s="7" t="str">
        <x:v>Etapa 1 • Base pública e planejamento preliminar • 2025 x 2024</x:v>
      </x:c>
      <x:c r="B2" s="7"/>
    </x:row>
    <x:row r="4" ht="26" customHeight="1">
      <x:c r="A4" s="11" t="str">
        <x:v>Campo</x:v>
      </x:c>
      <x:c r="B4" s="11" t="str">
        <x:v>Descrição</x:v>
      </x:c>
    </x:row>
    <x:row r="5">
      <x:c r="A5" t="str">
        <x:v>Entidade</x:v>
      </x:c>
      <x:c r="B5" t="str">
        <x:v>CSN Mineração S.A. (CMIN3) — não confundir com a controladora CSN (CSNA3)</x:v>
      </x:c>
    </x:row>
    <x:row r="6">
      <x:c r="A6" t="str">
        <x:v>Período</x:v>
      </x:c>
      <x:c r="B6" t="str">
        <x:v>Exercício findo em 31/12/2025, comparativo 31/12/2024</x:v>
      </x:c>
    </x:row>
    <x:row r="7">
      <x:c r="A7" t="str">
        <x:v>Base principal</x:v>
      </x:c>
      <x:c r="B7" t="str">
        <x:v>DFP 2025.pdf, CSN Mineração S.A., versão 2, 31/12/2025</x:v>
      </x:c>
    </x:row>
    <x:row r="8">
      <x:c r="A8" t="str">
        <x:v>Unidade monetária</x:v>
      </x:c>
      <x:c r="B8" t="str">
        <x:v>R$ mil em todas as demonstrações e análises, exceto onde indicado</x:v>
      </x:c>
    </x:row>
    <x:row r="9">
      <x:c r="A9" t="str">
        <x:v>Escopo</x:v>
      </x:c>
      <x:c r="B9" t="str">
        <x:v>Demonstrações individuais e consolidadas; planejamento inicial baseado em dados públicos</x:v>
      </x:c>
    </x:row>
    <x:row r="10">
      <x:c r="A10" t="str">
        <x:v>Conta foco</x:v>
      </x:c>
      <x:c r="B10" t="str">
        <x:v>Imobilizado consolidado — R$ 10.994.169 mil</x:v>
      </x:c>
    </x:row>
    <x:row r="11">
      <x:c r="A11" t="str">
        <x:v>Limitação</x:v>
      </x:c>
      <x:c r="B11" t="str">
        <x:v>Sem acesso a livros, inventários, contratos, confirmações externas ou controles internos</x:v>
      </x:c>
    </x:row>
    <x:row r="12">
      <x:c r="A12" t="str">
        <x:v>Status da evidência</x:v>
      </x:c>
      <x:c r="B12" t="str">
        <x:v>Dados extraídos de documento público; nenhum teste substantivo interno foi realizado</x:v>
      </x:c>
    </x:row>
    <x:row r="13">
      <x:c r="A13" t="str">
        <x:v>Próximas etapas</x:v>
      </x:c>
      <x:c r="B13" t="str">
        <x:v>Materialidade fundamentada, matriz de riscos, programas, 28 PTs e base sintética ≥500 mil registros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42" hidden="0" customWidth="1"/>
    <x:col min="3" max="3" width="44" hidden="0" customWidth="1"/>
    <x:col min="4" max="4" width="16" hidden="0" customWidth="1"/>
    <x:col min="5" max="5" width="21" hidden="0" customWidth="1"/>
    <x:col min="6" max="6" width="62" hidden="0" customWidth="1"/>
  </x:cols>
  <x:sheetData>
    <x:row r="1" ht="32" customHeight="1">
      <x:c r="A1" s="3" t="str">
        <x:v>REGISTRO DE FONTES E RASTREABILIDADE</x:v>
      </x:c>
      <x:c r="B1" s="3"/>
      <x:c r="C1" s="3"/>
      <x:c r="D1" s="3"/>
      <x:c r="E1" s="3"/>
      <x:c r="F1" s="3"/>
    </x:row>
    <x:row r="2" ht="25" customHeight="1">
      <x:c r="A2" s="7" t="str">
        <x:v>Páginas físicas do PDF (a página impressa é uma a menos)</x:v>
      </x:c>
      <x:c r="B2" s="7"/>
      <x:c r="C2" s="7"/>
      <x:c r="D2" s="7"/>
      <x:c r="E2" s="7"/>
      <x:c r="F2" s="7"/>
    </x:row>
    <x:row r="4" ht="26" customHeight="1">
      <x:c r="A4" s="11" t="str">
        <x:v>ID</x:v>
      </x:c>
      <x:c r="B4" s="11" t="str">
        <x:v>Fonte</x:v>
      </x:c>
      <x:c r="C4" s="11" t="str">
        <x:v>Seção</x:v>
      </x:c>
      <x:c r="D4" s="11" t="str">
        <x:v>Página PDF</x:v>
      </x:c>
      <x:c r="E4" s="11" t="str">
        <x:v>Tipo</x:v>
      </x:c>
      <x:c r="F4" s="11" t="str">
        <x:v>Limitação</x:v>
      </x:c>
    </x:row>
    <x:row r="5">
      <x:c r="A5" t="str">
        <x:v>F01</x:v>
      </x:c>
      <x:c r="B5" t="str">
        <x:v>DFP 2025.pdf, CSN Mineração S.A., versão 2, 31/12/2025</x:v>
      </x:c>
      <x:c r="C5" t="str">
        <x:v>BP individual ativo e passivo</x:v>
      </x:c>
      <x:c r="D5" t="str">
        <x:v>3–4</x:v>
      </x:c>
      <x:c r="E5" t="str">
        <x:v>Fonte primária</x:v>
      </x:c>
      <x:c r="F5" t="str">
        <x:v>Valores em R$ mil</x:v>
      </x:c>
    </x:row>
    <x:row r="6">
      <x:c r="A6" t="str">
        <x:v>F02</x:v>
      </x:c>
      <x:c r="B6" t="str">
        <x:v>DFP 2025.pdf, CSN Mineração S.A., versão 2, 31/12/2025</x:v>
      </x:c>
      <x:c r="C6" t="str">
        <x:v>DRE individual</x:v>
      </x:c>
      <x:c r="D6" t="str">
        <x:v>5</x:v>
      </x:c>
      <x:c r="E6" t="str">
        <x:v>Fonte primária</x:v>
      </x:c>
      <x:c r="F6" t="str">
        <x:v>Valores em R$ mil</x:v>
      </x:c>
    </x:row>
    <x:row r="7">
      <x:c r="A7" t="str">
        <x:v>F03</x:v>
      </x:c>
      <x:c r="B7" t="str">
        <x:v>DFP 2025.pdf, CSN Mineração S.A., versão 2, 31/12/2025</x:v>
      </x:c>
      <x:c r="C7" t="str">
        <x:v>BP consolidado ativo e passivo</x:v>
      </x:c>
      <x:c r="D7" t="str">
        <x:v>12–13</x:v>
      </x:c>
      <x:c r="E7" t="str">
        <x:v>Fonte primária</x:v>
      </x:c>
      <x:c r="F7" t="str">
        <x:v>Valores em R$ mil</x:v>
      </x:c>
    </x:row>
    <x:row r="8">
      <x:c r="A8" t="str">
        <x:v>F04</x:v>
      </x:c>
      <x:c r="B8" t="str">
        <x:v>DFP 2025.pdf, CSN Mineração S.A., versão 2, 31/12/2025</x:v>
      </x:c>
      <x:c r="C8" t="str">
        <x:v>DRE consolidada</x:v>
      </x:c>
      <x:c r="D8" t="str">
        <x:v>14</x:v>
      </x:c>
      <x:c r="E8" t="str">
        <x:v>Fonte primária</x:v>
      </x:c>
      <x:c r="F8" t="str">
        <x:v>Valores em R$ mil</x:v>
      </x:c>
    </x:row>
    <x:row r="9">
      <x:c r="A9" t="str">
        <x:v>F05</x:v>
      </x:c>
      <x:c r="B9" t="str">
        <x:v>DFP 2025.pdf, CSN Mineração S.A., versão 2, 31/12/2025</x:v>
      </x:c>
      <x:c r="C9" t="str">
        <x:v>Notas explicativas</x:v>
      </x:c>
      <x:c r="D9" t="str">
        <x:v>46–106 (aprox.)</x:v>
      </x:c>
      <x:c r="E9" t="str">
        <x:v>Fonte primária</x:v>
      </x:c>
      <x:c r="F9" t="str">
        <x:v>Conferir notas específicas antes de concluir</x:v>
      </x:c>
    </x:row>
    <x:row r="10">
      <x:c r="A10" t="str">
        <x:v>F06</x:v>
      </x:c>
      <x:c r="B10" t="str">
        <x:v>DFP 2025.pdf, CSN Mineração S.A., versão 2, 31/12/2025</x:v>
      </x:c>
      <x:c r="C10" t="str">
        <x:v>Relatório do auditor independente</x:v>
      </x:c>
      <x:c r="D10" t="str">
        <x:v>111 em diante</x:v>
      </x:c>
      <x:c r="E10" t="str">
        <x:v>Fonte primária</x:v>
      </x:c>
      <x:c r="F10" t="str">
        <x:v>Ler texto integral para citar opinião e PAAs</x:v>
      </x:c>
    </x:row>
    <x:row r="11">
      <x:c r="A11" t="str">
        <x:v>F07</x:v>
      </x:c>
      <x:c r="B11" t="str">
        <x:v>Formulário de Referência 2026.pdf</x:v>
      </x:c>
      <x:c r="C11" t="str">
        <x:v>Riscos e governança</x:v>
      </x:c>
      <x:c r="D11" t="str">
        <x:v>A mapear</x:v>
      </x:c>
      <x:c r="E11" t="str">
        <x:v>Complementar</x:v>
      </x:c>
      <x:c r="F11" t="str">
        <x:v>Não substitui evidência de auditoria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7" hidden="0" customWidth="1"/>
    <x:col min="3" max="3" width="20" hidden="0" customWidth="1"/>
    <x:col min="4" max="4" width="20" hidden="0" customWidth="1"/>
    <x:col min="5" max="5" width="21" hidden="0" customWidth="1"/>
    <x:col min="6" max="6" width="16" hidden="0" customWidth="1"/>
    <x:col min="7" max="7" width="18" hidden="0" customWidth="1"/>
    <x:col min="8" max="8" width="18" hidden="0" customWidth="1"/>
  </x:cols>
  <x:sheetData>
    <x:row r="1" ht="32" customHeight="1">
      <x:c r="A1" s="3" t="str">
        <x:v>BP INDIVIDUAL - ATIVO</x:v>
      </x:c>
      <x:c r="B1" s="3"/>
      <x:c r="C1" s="3"/>
      <x:c r="D1" s="3"/>
      <x:c r="E1" s="3"/>
      <x:c r="F1" s="3"/>
      <x:c r="G1" s="3"/>
      <x:c r="H1" s="3"/>
    </x:row>
    <x:row r="2" ht="25" customHeight="1">
      <x:c r="A2" s="7" t="str">
        <x:v>DFP 2025.pdf, CSN Mineração S.A., versão 2, 31/12/2025 | página PDF 3 | R$ mil</x:v>
      </x:c>
      <x:c r="B2" s="7"/>
      <x:c r="C2" s="7"/>
      <x:c r="D2" s="7"/>
      <x:c r="E2" s="7"/>
      <x:c r="F2" s="7"/>
      <x:c r="G2" s="7"/>
      <x:c r="H2" s="7"/>
    </x:row>
    <x:row r="4" ht="26" customHeight="1">
      <x:c r="A4" s="11" t="str">
        <x:v>Código</x:v>
      </x:c>
      <x:c r="B4" s="11" t="str">
        <x:v>Conta</x:v>
      </x:c>
      <x:c r="C4" s="11" t="str">
        <x:v>2025</x:v>
      </x:c>
      <x:c r="D4" s="11" t="str">
        <x:v>2024</x:v>
      </x:c>
      <x:c r="E4" s="11" t="str">
        <x:v>Variação R$ mil</x:v>
      </x:c>
      <x:c r="F4" s="11" t="str">
        <x:v>AH %</x:v>
      </x:c>
      <x:c r="G4" s="11" t="str">
        <x:v>AV 2025 %</x:v>
      </x:c>
      <x:c r="H4" s="11" t="str">
        <x:v>AV 2024 %</x:v>
      </x:c>
    </x:row>
    <x:row r="5" ht="20" customHeight="1">
      <x:c r="A5" t="str">
        <x:v>1</x:v>
      </x:c>
      <x:c r="B5" t="str">
        <x:v>Ativo Total</x:v>
      </x:c>
      <x:c r="C5" s="14" t="n">
        <x:v>32474601</x:v>
      </x:c>
      <x:c r="D5" s="14" t="n">
        <x:v>28056661</x:v>
      </x:c>
      <x:c r="E5" s="14" t="n">
        <x:f>C5-D5</x:f>
        <x:v>4417940</x:v>
      </x:c>
      <x:c r="F5" s="16" t="n">
        <x:f>IFERROR(C5/D5-1,0)</x:f>
        <x:v>0.15746492428304282</x:v>
      </x:c>
      <x:c r="G5" s="16" t="n">
        <x:f>IFERROR(C5/$C$5,0)</x:f>
        <x:v>1</x:v>
      </x:c>
      <x:c r="H5" s="16" t="n">
        <x:f>IFERROR(D5/$D$5,0)</x:f>
        <x:v>1</x:v>
      </x:c>
    </x:row>
    <x:row r="6" ht="20" customHeight="1">
      <x:c r="A6" t="str">
        <x:v>1.01</x:v>
      </x:c>
      <x:c r="B6" t="str">
        <x:v>Ativo Circulante</x:v>
      </x:c>
      <x:c r="C6" s="14" t="n">
        <x:v>10801346</x:v>
      </x:c>
      <x:c r="D6" s="14" t="n">
        <x:v>8330488</x:v>
      </x:c>
      <x:c r="E6" s="14" t="n">
        <x:f>C6-D6</x:f>
        <x:v>2470858</x:v>
      </x:c>
      <x:c r="F6" s="16" t="n">
        <x:f>IFERROR(C6/D6-1,0)</x:f>
        <x:v>0.2966042325491616</x:v>
      </x:c>
      <x:c r="G6" s="16" t="n">
        <x:f>IFERROR(C6/$C$5,0)</x:f>
        <x:v>0.33260904421889587</x:v>
      </x:c>
      <x:c r="H6" s="16" t="n">
        <x:f>IFERROR(D6/$D$5,0)</x:f>
        <x:v>0.29691658604707094</x:v>
      </x:c>
    </x:row>
    <x:row r="7" ht="20" customHeight="1">
      <x:c r="A7" t="str">
        <x:v>1.01.01</x:v>
      </x:c>
      <x:c r="B7" t="str">
        <x:v>Caixa e Equivalentes de Caixa</x:v>
      </x:c>
      <x:c r="C7" s="14" t="n">
        <x:v>6196051</x:v>
      </x:c>
      <x:c r="D7" s="14" t="n">
        <x:v>5434648</x:v>
      </x:c>
      <x:c r="E7" s="14" t="n">
        <x:f>C7-D7</x:f>
        <x:v>761403</x:v>
      </x:c>
      <x:c r="F7" s="16" t="n">
        <x:f>IFERROR(C7/D7-1,0)</x:f>
        <x:v>0.14010162203697463</x:v>
      </x:c>
      <x:c r="G7" s="16" t="n">
        <x:f>IFERROR(C7/$C$5,0)</x:f>
        <x:v>0.19079683226900926</x:v>
      </x:c>
      <x:c r="H7" s="16" t="n">
        <x:f>IFERROR(D7/$D$5,0)</x:f>
        <x:v>0.19370259347682178</x:v>
      </x:c>
    </x:row>
    <x:row r="8" ht="20" customHeight="1">
      <x:c r="A8" t="str">
        <x:v>1.01.02</x:v>
      </x:c>
      <x:c r="B8" t="str">
        <x:v>Aplicações Financeiras</x:v>
      </x:c>
      <x:c r="C8" s="14" t="n">
        <x:v>18074</x:v>
      </x:c>
      <x:c r="D8" s="14" t="n">
        <x:v>13891</x:v>
      </x:c>
      <x:c r="E8" s="14" t="n">
        <x:f>C8-D8</x:f>
        <x:v>4183</x:v>
      </x:c>
      <x:c r="F8" s="16" t="n">
        <x:f>IFERROR(C8/D8-1,0)</x:f>
        <x:v>0.30113022820531277</x:v>
      </x:c>
      <x:c r="G8" s="16" t="n">
        <x:f>IFERROR(C8/$C$5,0)</x:f>
        <x:v>0.000556558031305758</x:v>
      </x:c>
      <x:c r="H8" s="16" t="n">
        <x:f>IFERROR(D8/$D$5,0)</x:f>
        <x:v>0.0004951052443482138</x:v>
      </x:c>
    </x:row>
    <x:row r="9" ht="20" customHeight="1">
      <x:c r="A9" t="str">
        <x:v>1.01.02.03</x:v>
      </x:c>
      <x:c r="B9" t="str">
        <x:v>Aplicações Financeiras Avaliadas ao Custo Amortizado</x:v>
      </x:c>
      <x:c r="C9" s="14" t="n">
        <x:v>18074</x:v>
      </x:c>
      <x:c r="D9" s="14" t="n">
        <x:v>13891</x:v>
      </x:c>
      <x:c r="E9" s="14" t="n">
        <x:f>C9-D9</x:f>
        <x:v>4183</x:v>
      </x:c>
      <x:c r="F9" s="16" t="n">
        <x:f>IFERROR(C9/D9-1,0)</x:f>
        <x:v>0.30113022820531277</x:v>
      </x:c>
      <x:c r="G9" s="16" t="n">
        <x:f>IFERROR(C9/$C$5,0)</x:f>
        <x:v>0.000556558031305758</x:v>
      </x:c>
      <x:c r="H9" s="16" t="n">
        <x:f>IFERROR(D9/$D$5,0)</x:f>
        <x:v>0.0004951052443482138</x:v>
      </x:c>
    </x:row>
    <x:row r="10" ht="20" customHeight="1">
      <x:c r="A10" t="str">
        <x:v>1.01.03</x:v>
      </x:c>
      <x:c r="B10" t="str">
        <x:v>Contas a Receber</x:v>
      </x:c>
      <x:c r="C10" s="14" t="n">
        <x:v>3318118</x:v>
      </x:c>
      <x:c r="D10" s="14" t="n">
        <x:v>1772464</x:v>
      </x:c>
      <x:c r="E10" s="14" t="n">
        <x:f>C10-D10</x:f>
        <x:v>1545654</x:v>
      </x:c>
      <x:c r="F10" s="16" t="n">
        <x:f>IFERROR(C10/D10-1,0)</x:f>
        <x:v>0.8720368932739959</x:v>
      </x:c>
      <x:c r="G10" s="16" t="n">
        <x:f>IFERROR(C10/$C$5,0)</x:f>
        <x:v>0.10217578962709965</x:v>
      </x:c>
      <x:c r="H10" s="16" t="n">
        <x:f>IFERROR(D10/$D$5,0)</x:f>
        <x:v>0.0631744454552165</x:v>
      </x:c>
    </x:row>
    <x:row r="11" ht="20" customHeight="1">
      <x:c r="A11" t="str">
        <x:v>1.01.04</x:v>
      </x:c>
      <x:c r="B11" t="str">
        <x:v>Estoques</x:v>
      </x:c>
      <x:c r="C11" s="14" t="n">
        <x:v>825290</x:v>
      </x:c>
      <x:c r="D11" s="14" t="n">
        <x:v>777738</x:v>
      </x:c>
      <x:c r="E11" s="14" t="n">
        <x:f>C11-D11</x:f>
        <x:v>47552</x:v>
      </x:c>
      <x:c r="F11" s="16" t="n">
        <x:f>IFERROR(C11/D11-1,0)</x:f>
        <x:v>0.06114141266081896</x:v>
      </x:c>
      <x:c r="G11" s="16" t="n">
        <x:f>IFERROR(C11/$C$5,0)</x:f>
        <x:v>0.025413399228523238</x:v>
      </x:c>
      <x:c r="H11" s="16" t="n">
        <x:f>IFERROR(D11/$D$5,0)</x:f>
        <x:v>0.027720262222222382</x:v>
      </x:c>
    </x:row>
    <x:row r="12" ht="20" customHeight="1">
      <x:c r="A12" t="str">
        <x:v>1.01.06</x:v>
      </x:c>
      <x:c r="B12" t="str">
        <x:v>Tributos a Recuperar</x:v>
      </x:c>
      <x:c r="C12" s="14" t="n">
        <x:v>101299</x:v>
      </x:c>
      <x:c r="D12" s="14" t="n">
        <x:v>67930</x:v>
      </x:c>
      <x:c r="E12" s="14" t="n">
        <x:f>C12-D12</x:f>
        <x:v>33369</x:v>
      </x:c>
      <x:c r="F12" s="16" t="n">
        <x:f>IFERROR(C12/D12-1,0)</x:f>
        <x:v>0.4912262623288679</x:v>
      </x:c>
      <x:c r="G12" s="16" t="n">
        <x:f>IFERROR(C12/$C$5,0)</x:f>
        <x:v>0.0031193300881510446</x:v>
      </x:c>
      <x:c r="H12" s="16" t="n">
        <x:f>IFERROR(D12/$D$5,0)</x:f>
        <x:v>0.0024211719277643195</x:v>
      </x:c>
    </x:row>
    <x:row r="13" ht="20" customHeight="1">
      <x:c r="A13" t="str">
        <x:v>1.01.06.01</x:v>
      </x:c>
      <x:c r="B13" t="str">
        <x:v>Tributos Correntes a Recuperar</x:v>
      </x:c>
      <x:c r="C13" s="14" t="n">
        <x:v>101299</x:v>
      </x:c>
      <x:c r="D13" s="14" t="n">
        <x:v>67930</x:v>
      </x:c>
      <x:c r="E13" s="14" t="n">
        <x:f>C13-D13</x:f>
        <x:v>33369</x:v>
      </x:c>
      <x:c r="F13" s="16" t="n">
        <x:f>IFERROR(C13/D13-1,0)</x:f>
        <x:v>0.4912262623288679</x:v>
      </x:c>
      <x:c r="G13" s="16" t="n">
        <x:f>IFERROR(C13/$C$5,0)</x:f>
        <x:v>0.0031193300881510446</x:v>
      </x:c>
      <x:c r="H13" s="16" t="n">
        <x:f>IFERROR(D13/$D$5,0)</x:f>
        <x:v>0.0024211719277643195</x:v>
      </x:c>
    </x:row>
    <x:row r="14" ht="20" customHeight="1">
      <x:c r="A14" t="str">
        <x:v>1.01.08</x:v>
      </x:c>
      <x:c r="B14" t="str">
        <x:v>Outros Ativos Circulantes</x:v>
      </x:c>
      <x:c r="C14" s="14" t="n">
        <x:v>342514</x:v>
      </x:c>
      <x:c r="D14" s="14" t="n">
        <x:v>263817</x:v>
      </x:c>
      <x:c r="E14" s="14" t="n">
        <x:f>C14-D14</x:f>
        <x:v>78697</x:v>
      </x:c>
      <x:c r="F14" s="16" t="n">
        <x:f>IFERROR(C14/D14-1,0)</x:f>
        <x:v>0.2983014741278993</x:v>
      </x:c>
      <x:c r="G14" s="16" t="n">
        <x:f>IFERROR(C14/$C$5,0)</x:f>
        <x:v>0.010547134974806928</x:v>
      </x:c>
      <x:c r="H14" s="16" t="n">
        <x:f>IFERROR(D14/$D$5,0)</x:f>
        <x:v>0.00940300772069777</x:v>
      </x:c>
    </x:row>
    <x:row r="15" ht="20" customHeight="1">
      <x:c r="A15" t="str">
        <x:v>1.01.08.03</x:v>
      </x:c>
      <x:c r="B15" t="str">
        <x:v>Outros</x:v>
      </x:c>
      <x:c r="C15" s="14" t="n">
        <x:v>342514</x:v>
      </x:c>
      <x:c r="D15" s="14" t="n">
        <x:v>263817</x:v>
      </x:c>
      <x:c r="E15" s="14" t="n">
        <x:f>C15-D15</x:f>
        <x:v>78697</x:v>
      </x:c>
      <x:c r="F15" s="16" t="n">
        <x:f>IFERROR(C15/D15-1,0)</x:f>
        <x:v>0.2983014741278993</x:v>
      </x:c>
      <x:c r="G15" s="16" t="n">
        <x:f>IFERROR(C15/$C$5,0)</x:f>
        <x:v>0.010547134974806928</x:v>
      </x:c>
      <x:c r="H15" s="16" t="n">
        <x:f>IFERROR(D15/$D$5,0)</x:f>
        <x:v>0.00940300772069777</x:v>
      </x:c>
    </x:row>
    <x:row r="16" ht="20" customHeight="1">
      <x:c r="A16" t="str">
        <x:v>1.01.08.03.03</x:v>
      </x:c>
      <x:c r="B16" t="str">
        <x:v>Outros ativos</x:v>
      </x:c>
      <x:c r="C16" s="14" t="n">
        <x:v>334893</x:v>
      </x:c>
      <x:c r="D16" s="14" t="n">
        <x:v>263817</x:v>
      </x:c>
      <x:c r="E16" s="14" t="n">
        <x:f>C16-D16</x:f>
        <x:v>71076</x:v>
      </x:c>
      <x:c r="F16" s="16" t="n">
        <x:f>IFERROR(C16/D16-1,0)</x:f>
        <x:v>0.2694140256314035</x:v>
      </x:c>
      <x:c r="G16" s="16" t="n">
        <x:f>IFERROR(C16/$C$5,0)</x:f>
        <x:v>0.010312459266243178</x:v>
      </x:c>
      <x:c r="H16" s="16" t="n">
        <x:f>IFERROR(D16/$D$5,0)</x:f>
        <x:v>0.00940300772069777</x:v>
      </x:c>
    </x:row>
    <x:row r="17" ht="20" customHeight="1">
      <x:c r="A17" t="str">
        <x:v>1.01.08.03.04</x:v>
      </x:c>
      <x:c r="B17" t="str">
        <x:v>Despesas Antecipadas</x:v>
      </x:c>
      <x:c r="C17" s="14" t="n">
        <x:v>7621</x:v>
      </x:c>
      <x:c r="D17" s="14" t="n">
        <x:v>0</x:v>
      </x:c>
      <x:c r="E17" s="14" t="n">
        <x:f>C17-D17</x:f>
        <x:v>7621</x:v>
      </x:c>
      <x:c r="F17" s="16" t="n">
        <x:f>IFERROR(C17/D17-1,0)</x:f>
        <x:v>0</x:v>
      </x:c>
      <x:c r="G17" s="16" t="n">
        <x:f>IFERROR(C17/$C$5,0)</x:f>
        <x:v>0.000234675708563748</x:v>
      </x:c>
      <x:c r="H17" s="16" t="n">
        <x:f>IFERROR(D17/$D$5,0)</x:f>
        <x:v>0</x:v>
      </x:c>
    </x:row>
    <x:row r="18" ht="20" customHeight="1">
      <x:c r="A18" t="str">
        <x:v>1.02</x:v>
      </x:c>
      <x:c r="B18" t="str">
        <x:v>Ativo Não Circulante</x:v>
      </x:c>
      <x:c r="C18" s="14" t="n">
        <x:v>21673255</x:v>
      </x:c>
      <x:c r="D18" s="14" t="n">
        <x:v>19726173</x:v>
      </x:c>
      <x:c r="E18" s="14" t="n">
        <x:f>C18-D18</x:f>
        <x:v>1947082</x:v>
      </x:c>
      <x:c r="F18" s="16" t="n">
        <x:f>IFERROR(C18/D18-1,0)</x:f>
        <x:v>0.09870551170771957</x:v>
      </x:c>
      <x:c r="G18" s="16" t="n">
        <x:f>IFERROR(C18/$C$5,0)</x:f>
        <x:v>0.6673909557811041</x:v>
      </x:c>
      <x:c r="H18" s="16" t="n">
        <x:f>IFERROR(D18/$D$5,0)</x:f>
        <x:v>0.7030834139529291</x:v>
      </x:c>
    </x:row>
    <x:row r="19" ht="20" customHeight="1">
      <x:c r="A19" t="str">
        <x:v>1.02.01</x:v>
      </x:c>
      <x:c r="B19" t="str">
        <x:v>Ativo Realizável a Longo Prazo</x:v>
      </x:c>
      <x:c r="C19" s="14" t="n">
        <x:v>3074149</x:v>
      </x:c>
      <x:c r="D19" s="14" t="n">
        <x:v>2717306</x:v>
      </x:c>
      <x:c r="E19" s="14" t="n">
        <x:f>C19-D19</x:f>
        <x:v>356843</x:v>
      </x:c>
      <x:c r="F19" s="16" t="n">
        <x:f>IFERROR(C19/D19-1,0)</x:f>
        <x:v>0.13132234647110042</x:v>
      </x:c>
      <x:c r="G19" s="16" t="n">
        <x:f>IFERROR(C19/$C$5,0)</x:f>
        <x:v>0.09466318000335093</x:v>
      </x:c>
      <x:c r="H19" s="16" t="n">
        <x:f>IFERROR(D19/$D$5,0)</x:f>
        <x:v>0.09685065517953116</x:v>
      </x:c>
    </x:row>
    <x:row r="20" ht="20" customHeight="1">
      <x:c r="A20" t="str">
        <x:v>1.02.01.05</x:v>
      </x:c>
      <x:c r="B20" t="str">
        <x:v>Estoques</x:v>
      </x:c>
      <x:c r="C20" s="14" t="n">
        <x:v>2073526</x:v>
      </x:c>
      <x:c r="D20" s="14" t="n">
        <x:v>1761172</x:v>
      </x:c>
      <x:c r="E20" s="14" t="n">
        <x:f>C20-D20</x:f>
        <x:v>312354</x:v>
      </x:c>
      <x:c r="F20" s="16" t="n">
        <x:f>IFERROR(C20/D20-1,0)</x:f>
        <x:v>0.1773557608229066</x:v>
      </x:c>
      <x:c r="G20" s="16" t="n">
        <x:f>IFERROR(C20/$C$5,0)</x:f>
        <x:v>0.06385069981306314</x:v>
      </x:c>
      <x:c r="H20" s="16" t="n">
        <x:f>IFERROR(D20/$D$5,0)</x:f>
        <x:v>0.06277197418466866</x:v>
      </x:c>
    </x:row>
    <x:row r="21" ht="20" customHeight="1">
      <x:c r="A21" t="str">
        <x:v>1.02.01.05.01</x:v>
      </x:c>
      <x:c r="B21" t="str">
        <x:v>Estoques</x:v>
      </x:c>
      <x:c r="C21" s="14" t="n">
        <x:v>2073526</x:v>
      </x:c>
      <x:c r="D21" s="14" t="n">
        <x:v>1761172</x:v>
      </x:c>
      <x:c r="E21" s="14" t="n">
        <x:f>C21-D21</x:f>
        <x:v>312354</x:v>
      </x:c>
      <x:c r="F21" s="16" t="n">
        <x:f>IFERROR(C21/D21-1,0)</x:f>
        <x:v>0.1773557608229066</x:v>
      </x:c>
      <x:c r="G21" s="16" t="n">
        <x:f>IFERROR(C21/$C$5,0)</x:f>
        <x:v>0.06385069981306314</x:v>
      </x:c>
      <x:c r="H21" s="16" t="n">
        <x:f>IFERROR(D21/$D$5,0)</x:f>
        <x:v>0.06277197418466866</x:v>
      </x:c>
    </x:row>
    <x:row r="22" ht="20" customHeight="1">
      <x:c r="A22" t="str">
        <x:v>1.02.01.07</x:v>
      </x:c>
      <x:c r="B22" t="str">
        <x:v>Tributos Diferidos</x:v>
      </x:c>
      <x:c r="C22" s="14" t="n">
        <x:v>0</x:v>
      </x:c>
      <x:c r="D22" s="14" t="n">
        <x:v>138926</x:v>
      </x:c>
      <x:c r="E22" s="14" t="n">
        <x:f>C22-D22</x:f>
        <x:v>-138926</x:v>
      </x:c>
      <x:c r="F22" s="16" t="n">
        <x:f>IFERROR(C22/D22-1,0)</x:f>
        <x:v>-1</x:v>
      </x:c>
      <x:c r="G22" s="16" t="n">
        <x:f>IFERROR(C22/$C$5,0)</x:f>
        <x:v>0</x:v>
      </x:c>
      <x:c r="H22" s="16" t="n">
        <x:f>IFERROR(D22/$D$5,0)</x:f>
        <x:v>0.0049516227180418934</x:v>
      </x:c>
    </x:row>
    <x:row r="23" ht="20" customHeight="1">
      <x:c r="A23" t="str">
        <x:v>1.02.01.10</x:v>
      </x:c>
      <x:c r="B23" t="str">
        <x:v>Outros Ativos Não Circulantes</x:v>
      </x:c>
      <x:c r="C23" s="14" t="n">
        <x:v>1000623</x:v>
      </x:c>
      <x:c r="D23" s="14" t="n">
        <x:v>817208</x:v>
      </x:c>
      <x:c r="E23" s="14" t="n">
        <x:f>C23-D23</x:f>
        <x:v>183415</x:v>
      </x:c>
      <x:c r="F23" s="16" t="n">
        <x:f>IFERROR(C23/D23-1,0)</x:f>
        <x:v>0.22444102358273543</x:v>
      </x:c>
      <x:c r="G23" s="16" t="n">
        <x:f>IFERROR(C23/$C$5,0)</x:f>
        <x:v>0.03081248019028779</x:v>
      </x:c>
      <x:c r="H23" s="16" t="n">
        <x:f>IFERROR(D23/$D$5,0)</x:f>
        <x:v>0.02912705827682061</x:v>
      </x:c>
    </x:row>
    <x:row r="24" ht="20" customHeight="1">
      <x:c r="A24" t="str">
        <x:v>1.02.01.10.03</x:v>
      </x:c>
      <x:c r="B24" t="str">
        <x:v>Depositos judiciais</x:v>
      </x:c>
      <x:c r="C24" s="14" t="n">
        <x:v>125619</x:v>
      </x:c>
      <x:c r="D24" s="14" t="n">
        <x:v>105712</x:v>
      </x:c>
      <x:c r="E24" s="14" t="n">
        <x:f>C24-D24</x:f>
        <x:v>19907</x:v>
      </x:c>
      <x:c r="F24" s="16" t="n">
        <x:f>IFERROR(C24/D24-1,0)</x:f>
        <x:v>0.18831353110337523</x:v>
      </x:c>
      <x:c r="G24" s="16" t="n">
        <x:f>IFERROR(C24/$C$5,0)</x:f>
        <x:v>0.0038682230460660625</x:v>
      </x:c>
      <x:c r="H24" s="16" t="n">
        <x:f>IFERROR(D24/$D$5,0)</x:f>
        <x:v>0.003767804016308284</x:v>
      </x:c>
    </x:row>
    <x:row r="25" ht="20" customHeight="1">
      <x:c r="A25" t="str">
        <x:v>1.02.01.10.04</x:v>
      </x:c>
      <x:c r="B25" t="str">
        <x:v>Impostos a recuperar</x:v>
      </x:c>
      <x:c r="C25" s="14" t="n">
        <x:v>551143</x:v>
      </x:c>
      <x:c r="D25" s="14" t="n">
        <x:v>281507</x:v>
      </x:c>
      <x:c r="E25" s="14" t="n">
        <x:f>C25-D25</x:f>
        <x:v>269636</x:v>
      </x:c>
      <x:c r="F25" s="16" t="n">
        <x:f>IFERROR(C25/D25-1,0)</x:f>
        <x:v>0.9578305335213688</x:v>
      </x:c>
      <x:c r="G25" s="16" t="n">
        <x:f>IFERROR(C25/$C$5,0)</x:f>
        <x:v>0.016971509519085392</x:v>
      </x:c>
      <x:c r="H25" s="16" t="n">
        <x:f>IFERROR(D25/$D$5,0)</x:f>
        <x:v>0.010033517530828063</x:v>
      </x:c>
    </x:row>
    <x:row r="26" ht="20" customHeight="1">
      <x:c r="A26" t="str">
        <x:v>1.02.01.10.05</x:v>
      </x:c>
      <x:c r="B26" t="str">
        <x:v>Outros ativos</x:v>
      </x:c>
      <x:c r="C26" s="14" t="n">
        <x:v>323861</x:v>
      </x:c>
      <x:c r="D26" s="14" t="n">
        <x:v>429989</x:v>
      </x:c>
      <x:c r="E26" s="14" t="n">
        <x:f>C26-D26</x:f>
        <x:v>-106128</x:v>
      </x:c>
      <x:c r="F26" s="16" t="n">
        <x:f>IFERROR(C26/D26-1,0)</x:f>
        <x:v>-0.24681561621343806</x:v>
      </x:c>
      <x:c r="G26" s="16" t="n">
        <x:f>IFERROR(C26/$C$5,0)</x:f>
        <x:v>0.009972747625136334</x:v>
      </x:c>
      <x:c r="H26" s="16" t="n">
        <x:f>IFERROR(D26/$D$5,0)</x:f>
        <x:v>0.015325736729684262</x:v>
      </x:c>
    </x:row>
    <x:row r="27" ht="20" customHeight="1">
      <x:c r="A27" t="str">
        <x:v>1.02.02</x:v>
      </x:c>
      <x:c r="B27" t="str">
        <x:v>Investimentos</x:v>
      </x:c>
      <x:c r="C27" s="14" t="n">
        <x:v>3667711</x:v>
      </x:c>
      <x:c r="D27" s="14" t="n">
        <x:v>3368508</x:v>
      </x:c>
      <x:c r="E27" s="14" t="n">
        <x:f>C27-D27</x:f>
        <x:v>299203</x:v>
      </x:c>
      <x:c r="F27" s="16" t="n">
        <x:f>IFERROR(C27/D27-1,0)</x:f>
        <x:v>0.08882359786588001</x:v>
      </x:c>
      <x:c r="G27" s="16" t="n">
        <x:f>IFERROR(C27/$C$5,0)</x:f>
        <x:v>0.11294091034405626</x:v>
      </x:c>
      <x:c r="H27" s="16" t="n">
        <x:f>IFERROR(D27/$D$5,0)</x:f>
        <x:v>0.12006090104592275</x:v>
      </x:c>
    </x:row>
    <x:row r="28" ht="20" customHeight="1">
      <x:c r="A28" t="str">
        <x:v>1.02.02.01</x:v>
      </x:c>
      <x:c r="B28" t="str">
        <x:v>Participações Societárias</x:v>
      </x:c>
      <x:c r="C28" s="14" t="n">
        <x:v>3667711</x:v>
      </x:c>
      <x:c r="D28" s="14" t="n">
        <x:v>3368508</x:v>
      </x:c>
      <x:c r="E28" s="14" t="n">
        <x:f>C28-D28</x:f>
        <x:v>299203</x:v>
      </x:c>
      <x:c r="F28" s="16" t="n">
        <x:f>IFERROR(C28/D28-1,0)</x:f>
        <x:v>0.08882359786588001</x:v>
      </x:c>
      <x:c r="G28" s="16" t="n">
        <x:f>IFERROR(C28/$C$5,0)</x:f>
        <x:v>0.11294091034405626</x:v>
      </x:c>
      <x:c r="H28" s="16" t="n">
        <x:f>IFERROR(D28/$D$5,0)</x:f>
        <x:v>0.12006090104592275</x:v>
      </x:c>
    </x:row>
    <x:row r="29" ht="20" customHeight="1">
      <x:c r="A29" t="str">
        <x:v>1.02.03</x:v>
      </x:c>
      <x:c r="B29" t="str">
        <x:v>Imobilizado</x:v>
      </x:c>
      <x:c r="C29" s="14" t="n">
        <x:v>10743702</x:v>
      </x:c>
      <x:c r="D29" s="14" t="n">
        <x:v>9439962</x:v>
      </x:c>
      <x:c r="E29" s="14" t="n">
        <x:f>C29-D29</x:f>
        <x:v>1303740</x:v>
      </x:c>
      <x:c r="F29" s="16" t="n">
        <x:f>IFERROR(C29/D29-1,0)</x:f>
        <x:v>0.13810860679312054</x:v>
      </x:c>
      <x:c r="G29" s="16" t="n">
        <x:f>IFERROR(C29/$C$5,0)</x:f>
        <x:v>0.33083399546617986</x:v>
      </x:c>
      <x:c r="H29" s="16" t="n">
        <x:f>IFERROR(D29/$D$5,0)</x:f>
        <x:v>0.3364606358539956</x:v>
      </x:c>
    </x:row>
    <x:row r="30" ht="20" customHeight="1">
      <x:c r="A30" t="str">
        <x:v>1.02.03.01</x:v>
      </x:c>
      <x:c r="B30" t="str">
        <x:v>Imobilizado em Operação</x:v>
      </x:c>
      <x:c r="C30" s="14" t="n">
        <x:v>6649039</x:v>
      </x:c>
      <x:c r="D30" s="14" t="n">
        <x:v>6838719</x:v>
      </x:c>
      <x:c r="E30" s="14" t="n">
        <x:f>C30-D30</x:f>
        <x:v>-189680</x:v>
      </x:c>
      <x:c r="F30" s="16" t="n">
        <x:f>IFERROR(C30/D30-1,0)</x:f>
        <x:v>-0.02773618860491267</x:v>
      </x:c>
      <x:c r="G30" s="16" t="n">
        <x:f>IFERROR(C30/$C$5,0)</x:f>
        <x:v>0.20474582582246353</x:v>
      </x:c>
      <x:c r="H30" s="16" t="n">
        <x:f>IFERROR(D30/$D$5,0)</x:f>
        <x:v>0.2437467166887749</x:v>
      </x:c>
    </x:row>
    <x:row r="31" ht="20" customHeight="1">
      <x:c r="A31" t="str">
        <x:v>1.02.03.02</x:v>
      </x:c>
      <x:c r="B31" t="str">
        <x:v>Direito de Uso em Arrendamento</x:v>
      </x:c>
      <x:c r="C31" s="14" t="n">
        <x:v>118127</x:v>
      </x:c>
      <x:c r="D31" s="14" t="n">
        <x:v>110238</x:v>
      </x:c>
      <x:c r="E31" s="14" t="n">
        <x:f>C31-D31</x:f>
        <x:v>7889</x:v>
      </x:c>
      <x:c r="F31" s="16" t="n">
        <x:f>IFERROR(C31/D31-1,0)</x:f>
        <x:v>0.07156334476314874</x:v>
      </x:c>
      <x:c r="G31" s="16" t="n">
        <x:f>IFERROR(C31/$C$5,0)</x:f>
        <x:v>0.0036375196726820447</x:v>
      </x:c>
      <x:c r="H31" s="16" t="n">
        <x:f>IFERROR(D31/$D$5,0)</x:f>
        <x:v>0.003929120432399279</x:v>
      </x:c>
    </x:row>
    <x:row r="32" ht="20" customHeight="1">
      <x:c r="A32" t="str">
        <x:v>1.02.03.03</x:v>
      </x:c>
      <x:c r="B32" t="str">
        <x:v>Imobilizado em Andamento</x:v>
      </x:c>
      <x:c r="C32" s="14" t="n">
        <x:v>3976536</x:v>
      </x:c>
      <x:c r="D32" s="14" t="n">
        <x:v>2491005</x:v>
      </x:c>
      <x:c r="E32" s="14" t="n">
        <x:f>C32-D32</x:f>
        <x:v>1485531</x:v>
      </x:c>
      <x:c r="F32" s="16" t="n">
        <x:f>IFERROR(C32/D32-1,0)</x:f>
        <x:v>0.5963580964309585</x:v>
      </x:c>
      <x:c r="G32" s="16" t="n">
        <x:f>IFERROR(C32/$C$5,0)</x:f>
        <x:v>0.12245064997103429</x:v>
      </x:c>
      <x:c r="H32" s="16" t="n">
        <x:f>IFERROR(D32/$D$5,0)</x:f>
        <x:v>0.08878479873282141</x:v>
      </x:c>
    </x:row>
    <x:row r="33" ht="20" customHeight="1">
      <x:c r="A33" t="str">
        <x:v>1.02.04</x:v>
      </x:c>
      <x:c r="B33" t="str">
        <x:v>Intangível</x:v>
      </x:c>
      <x:c r="C33" s="14" t="n">
        <x:v>4187693</x:v>
      </x:c>
      <x:c r="D33" s="14" t="n">
        <x:v>4200397</x:v>
      </x:c>
      <x:c r="E33" s="14" t="n">
        <x:f>C33-D33</x:f>
        <x:v>-12704</x:v>
      </x:c>
      <x:c r="F33" s="16" t="n">
        <x:f>IFERROR(C33/D33-1,0)</x:f>
        <x:v>-0.003024476019766742</x:v>
      </x:c>
      <x:c r="G33" s="16" t="n">
        <x:f>IFERROR(C33/$C$5,0)</x:f>
        <x:v>0.12895286996751706</x:v>
      </x:c>
      <x:c r="H33" s="16" t="n">
        <x:f>IFERROR(D33/$D$5,0)</x:f>
        <x:v>0.14971122187347952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7" hidden="0" customWidth="1"/>
    <x:col min="3" max="3" width="20" hidden="0" customWidth="1"/>
    <x:col min="4" max="4" width="20" hidden="0" customWidth="1"/>
    <x:col min="5" max="5" width="21" hidden="0" customWidth="1"/>
    <x:col min="6" max="6" width="16" hidden="0" customWidth="1"/>
    <x:col min="7" max="7" width="18" hidden="0" customWidth="1"/>
    <x:col min="8" max="8" width="18" hidden="0" customWidth="1"/>
  </x:cols>
  <x:sheetData>
    <x:row r="1" ht="32" customHeight="1">
      <x:c r="A1" s="3" t="str">
        <x:v>BP INDIVIDUAL - PASSIVO</x:v>
      </x:c>
      <x:c r="B1" s="3"/>
      <x:c r="C1" s="3"/>
      <x:c r="D1" s="3"/>
      <x:c r="E1" s="3"/>
      <x:c r="F1" s="3"/>
      <x:c r="G1" s="3"/>
      <x:c r="H1" s="3"/>
    </x:row>
    <x:row r="2" ht="25" customHeight="1">
      <x:c r="A2" s="7" t="str">
        <x:v>DFP 2025.pdf, CSN Mineração S.A., versão 2, 31/12/2025 | página PDF 4 | R$ mil</x:v>
      </x:c>
      <x:c r="B2" s="7"/>
      <x:c r="C2" s="7"/>
      <x:c r="D2" s="7"/>
      <x:c r="E2" s="7"/>
      <x:c r="F2" s="7"/>
      <x:c r="G2" s="7"/>
      <x:c r="H2" s="7"/>
    </x:row>
    <x:row r="4" ht="26" customHeight="1">
      <x:c r="A4" s="11" t="str">
        <x:v>Código</x:v>
      </x:c>
      <x:c r="B4" s="11" t="str">
        <x:v>Conta</x:v>
      </x:c>
      <x:c r="C4" s="11" t="str">
        <x:v>2025</x:v>
      </x:c>
      <x:c r="D4" s="11" t="str">
        <x:v>2024</x:v>
      </x:c>
      <x:c r="E4" s="11" t="str">
        <x:v>Variação R$ mil</x:v>
      </x:c>
      <x:c r="F4" s="11" t="str">
        <x:v>AH %</x:v>
      </x:c>
      <x:c r="G4" s="11" t="str">
        <x:v>AV 2025 %</x:v>
      </x:c>
      <x:c r="H4" s="11" t="str">
        <x:v>AV 2024 %</x:v>
      </x:c>
    </x:row>
    <x:row r="5" ht="20" customHeight="1">
      <x:c r="A5" t="str">
        <x:v>2</x:v>
      </x:c>
      <x:c r="B5" t="str">
        <x:v>Passivo Total</x:v>
      </x:c>
      <x:c r="C5" s="14" t="n">
        <x:v>32474601</x:v>
      </x:c>
      <x:c r="D5" s="14" t="n">
        <x:v>28056661</x:v>
      </x:c>
      <x:c r="E5" s="14" t="n">
        <x:f>C5-D5</x:f>
        <x:v>4417940</x:v>
      </x:c>
      <x:c r="F5" s="16" t="n">
        <x:f>IFERROR(C5/D5-1,0)</x:f>
        <x:v>0.15746492428304282</x:v>
      </x:c>
      <x:c r="G5" s="16" t="n">
        <x:f>IFERROR(C5/$C$5,0)</x:f>
        <x:v>1</x:v>
      </x:c>
      <x:c r="H5" s="16" t="n">
        <x:f>IFERROR(D5/$D$5,0)</x:f>
        <x:v>1</x:v>
      </x:c>
    </x:row>
    <x:row r="6" ht="20" customHeight="1">
      <x:c r="A6" t="str">
        <x:v>2.01</x:v>
      </x:c>
      <x:c r="B6" t="str">
        <x:v>Passivo Circulante</x:v>
      </x:c>
      <x:c r="C6" s="14" t="n">
        <x:v>9375166</x:v>
      </x:c>
      <x:c r="D6" s="14" t="n">
        <x:v>5367094</x:v>
      </x:c>
      <x:c r="E6" s="14" t="n">
        <x:f>C6-D6</x:f>
        <x:v>4008072</x:v>
      </x:c>
      <x:c r="F6" s="16" t="n">
        <x:f>IFERROR(C6/D6-1,0)</x:f>
        <x:v>0.7467862496911737</x:v>
      </x:c>
      <x:c r="G6" s="16" t="n">
        <x:f>IFERROR(C6/$C$5,0)</x:f>
        <x:v>0.28869226137682186</x:v>
      </x:c>
      <x:c r="H6" s="16" t="n">
        <x:f>IFERROR(D6/$D$5,0)</x:f>
        <x:v>0.19129482300121173</x:v>
      </x:c>
    </x:row>
    <x:row r="7" ht="20" customHeight="1">
      <x:c r="A7" t="str">
        <x:v>2.01.01</x:v>
      </x:c>
      <x:c r="B7" t="str">
        <x:v>Obrigações Sociais e Trabalhistas</x:v>
      </x:c>
      <x:c r="C7" s="14" t="n">
        <x:v>104660</x:v>
      </x:c>
      <x:c r="D7" s="14" t="n">
        <x:v>100517</x:v>
      </x:c>
      <x:c r="E7" s="14" t="n">
        <x:f>C7-D7</x:f>
        <x:v>4143</x:v>
      </x:c>
      <x:c r="F7" s="16" t="n">
        <x:f>IFERROR(C7/D7-1,0)</x:f>
        <x:v>0.04121690858262772</x:v>
      </x:c>
      <x:c r="G7" s="16" t="n">
        <x:f>IFERROR(C7/$C$5,0)</x:f>
        <x:v>0.003222826355895797</x:v>
      </x:c>
      <x:c r="H7" s="16" t="n">
        <x:f>IFERROR(D7/$D$5,0)</x:f>
        <x:v>0.0035826429951874884</x:v>
      </x:c>
    </x:row>
    <x:row r="8" ht="20" customHeight="1">
      <x:c r="A8" t="str">
        <x:v>2.01.02</x:v>
      </x:c>
      <x:c r="B8" t="str">
        <x:v>Fornecedores</x:v>
      </x:c>
      <x:c r="C8" s="14" t="n">
        <x:v>1736201</x:v>
      </x:c>
      <x:c r="D8" s="14" t="n">
        <x:v>1798410</x:v>
      </x:c>
      <x:c r="E8" s="14" t="n">
        <x:f>C8-D8</x:f>
        <x:v>-62209</x:v>
      </x:c>
      <x:c r="F8" s="16" t="n">
        <x:f>IFERROR(C8/D8-1,0)</x:f>
        <x:v>-0.034591111036971545</x:v>
      </x:c>
      <x:c r="G8" s="16" t="n">
        <x:f>IFERROR(C8/$C$5,0)</x:f>
        <x:v>0.053463351251028454</x:v>
      </x:c>
      <x:c r="H8" s="16" t="n">
        <x:f>IFERROR(D8/$D$5,0)</x:f>
        <x:v>0.06409921693818092</x:v>
      </x:c>
    </x:row>
    <x:row r="9" ht="20" customHeight="1">
      <x:c r="A9" t="str">
        <x:v>2.01.03</x:v>
      </x:c>
      <x:c r="B9" t="str">
        <x:v>Obrigações Fiscais</x:v>
      </x:c>
      <x:c r="C9" s="14" t="n">
        <x:v>283632</x:v>
      </x:c>
      <x:c r="D9" s="14" t="n">
        <x:v>162875</x:v>
      </x:c>
      <x:c r="E9" s="14" t="n">
        <x:f>C9-D9</x:f>
        <x:v>120757</x:v>
      </x:c>
      <x:c r="F9" s="16" t="n">
        <x:f>IFERROR(C9/D9-1,0)</x:f>
        <x:v>0.7414090560245588</x:v>
      </x:c>
      <x:c r="G9" s="16" t="n">
        <x:f>IFERROR(C9/$C$5,0)</x:f>
        <x:v>0.008733964121683898</x:v>
      </x:c>
      <x:c r="H9" s="16" t="n">
        <x:f>IFERROR(D9/$D$5,0)</x:f>
        <x:v>0.00580521680751676</x:v>
      </x:c>
    </x:row>
    <x:row r="10" ht="20" customHeight="1">
      <x:c r="A10" t="str">
        <x:v>2.01.04</x:v>
      </x:c>
      <x:c r="B10" t="str">
        <x:v>Empréstimos e Financiamentos</x:v>
      </x:c>
      <x:c r="C10" s="14" t="n">
        <x:v>1650923</x:v>
      </x:c>
      <x:c r="D10" s="14" t="n">
        <x:v>1340018</x:v>
      </x:c>
      <x:c r="E10" s="14" t="n">
        <x:f>C10-D10</x:f>
        <x:v>310905</x:v>
      </x:c>
      <x:c r="F10" s="16" t="n">
        <x:f>IFERROR(C10/D10-1,0)</x:f>
        <x:v>0.2320155400897599</x:v>
      </x:c>
      <x:c r="G10" s="16" t="n">
        <x:f>IFERROR(C10/$C$5,0)</x:f>
        <x:v>0.050837360557563126</x:v>
      </x:c>
      <x:c r="H10" s="16" t="n">
        <x:f>IFERROR(D10/$D$5,0)</x:f>
        <x:v>0.047761135938449696</x:v>
      </x:c>
    </x:row>
    <x:row r="11" ht="20" customHeight="1">
      <x:c r="A11" t="str">
        <x:v>2.01.05</x:v>
      </x:c>
      <x:c r="B11" t="str">
        <x:v>Outras Obrigações</x:v>
      </x:c>
      <x:c r="C11" s="14" t="n">
        <x:v>5594034</x:v>
      </x:c>
      <x:c r="D11" s="14" t="n">
        <x:v>1954322</x:v>
      </x:c>
      <x:c r="E11" s="14" t="n">
        <x:f>C11-D11</x:f>
        <x:v>3639712</x:v>
      </x:c>
      <x:c r="F11" s="16" t="n">
        <x:f>IFERROR(C11/D11-1,0)</x:f>
        <x:v>1.8623911515093212</x:v>
      </x:c>
      <x:c r="G11" s="16" t="n">
        <x:f>IFERROR(C11/$C$5,0)</x:f>
        <x:v>0.17225874461090376</x:v>
      </x:c>
      <x:c r="H11" s="16" t="n">
        <x:f>IFERROR(D11/$D$5,0)</x:f>
        <x:v>0.06965625738572384</x:v>
      </x:c>
    </x:row>
    <x:row r="12" ht="20" customHeight="1">
      <x:c r="A12" t="str">
        <x:v>2.01.05.02</x:v>
      </x:c>
      <x:c r="B12" t="str">
        <x:v>Outros</x:v>
      </x:c>
      <x:c r="C12" s="14" t="n">
        <x:v>5594034</x:v>
      </x:c>
      <x:c r="D12" s="14" t="n">
        <x:v>1954322</x:v>
      </x:c>
      <x:c r="E12" s="14" t="n">
        <x:f>C12-D12</x:f>
        <x:v>3639712</x:v>
      </x:c>
      <x:c r="F12" s="16" t="n">
        <x:f>IFERROR(C12/D12-1,0)</x:f>
        <x:v>1.8623911515093212</x:v>
      </x:c>
      <x:c r="G12" s="16" t="n">
        <x:f>IFERROR(C12/$C$5,0)</x:f>
        <x:v>0.17225874461090376</x:v>
      </x:c>
      <x:c r="H12" s="16" t="n">
        <x:f>IFERROR(D12/$D$5,0)</x:f>
        <x:v>0.06965625738572384</x:v>
      </x:c>
    </x:row>
    <x:row r="13" ht="20" customHeight="1">
      <x:c r="A13" t="str">
        <x:v>2.01.05.02.01</x:v>
      </x:c>
      <x:c r="B13" t="str">
        <x:v>Dividendos e JCP a Pagar</x:v>
      </x:c>
      <x:c r="C13" s="14" t="n">
        <x:v>1163385</x:v>
      </x:c>
      <x:c r="D13" s="14" t="n">
        <x:v>179868</x:v>
      </x:c>
      <x:c r="E13" s="14" t="n">
        <x:f>C13-D13</x:f>
        <x:v>983517</x:v>
      </x:c>
      <x:c r="F13" s="16" t="n">
        <x:f>IFERROR(C13/D13-1,0)</x:f>
        <x:v>5.467993195009674</x:v>
      </x:c>
      <x:c r="G13" s="16" t="n">
        <x:f>IFERROR(C13/$C$5,0)</x:f>
        <x:v>0.03582445862845243</x:v>
      </x:c>
      <x:c r="H13" s="16" t="n">
        <x:f>IFERROR(D13/$D$5,0)</x:f>
        <x:v>0.00641088403213768</x:v>
      </x:c>
    </x:row>
    <x:row r="14" ht="20" customHeight="1">
      <x:c r="A14" t="str">
        <x:v>2.01.05.02.04</x:v>
      </x:c>
      <x:c r="B14" t="str">
        <x:v>Passivos de arredamentos</x:v>
      </x:c>
      <x:c r="C14" s="14" t="n">
        <x:v>16384</x:v>
      </x:c>
      <x:c r="D14" s="14" t="n">
        <x:v>12257</x:v>
      </x:c>
      <x:c r="E14" s="14" t="n">
        <x:f>C14-D14</x:f>
        <x:v>4127</x:v>
      </x:c>
      <x:c r="F14" s="16" t="n">
        <x:f>IFERROR(C14/D14-1,0)</x:f>
        <x:v>0.33670555600881125</x:v>
      </x:c>
      <x:c r="G14" s="16" t="n">
        <x:f>IFERROR(C14/$C$5,0)</x:f>
        <x:v>0.0005045173611216964</x:v>
      </x:c>
      <x:c r="H14" s="16" t="n">
        <x:f>IFERROR(D14/$D$5,0)</x:f>
        <x:v>0.0004368659549331262</x:v>
      </x:c>
    </x:row>
    <x:row r="15" ht="20" customHeight="1">
      <x:c r="A15" t="str">
        <x:v>2.01.05.02.05</x:v>
      </x:c>
      <x:c r="B15" t="str">
        <x:v>Passivo de Contrato</x:v>
      </x:c>
      <x:c r="C15" s="14" t="n">
        <x:v>3642100</x:v>
      </x:c>
      <x:c r="D15" s="14" t="n">
        <x:v>1395007</x:v>
      </x:c>
      <x:c r="E15" s="14" t="n">
        <x:f>C15-D15</x:f>
        <x:v>2247093</x:v>
      </x:c>
      <x:c r="F15" s="16" t="n">
        <x:f>IFERROR(C15/D15-1,0)</x:f>
        <x:v>1.6108112719147645</x:v>
      </x:c>
      <x:c r="G15" s="16" t="n">
        <x:f>IFERROR(C15/$C$5,0)</x:f>
        <x:v>0.11215226324104798</x:v>
      </x:c>
      <x:c r="H15" s="16" t="n">
        <x:f>IFERROR(D15/$D$5,0)</x:f>
        <x:v>0.04972106267385132</x:v>
      </x:c>
    </x:row>
    <x:row r="16" ht="20" customHeight="1">
      <x:c r="A16" t="str">
        <x:v>2.01.05.02.07</x:v>
      </x:c>
      <x:c r="B16" t="str">
        <x:v>Outras Obrigações</x:v>
      </x:c>
      <x:c r="C16" s="14" t="n">
        <x:v>234932</x:v>
      </x:c>
      <x:c r="D16" s="14" t="n">
        <x:v>179417</x:v>
      </x:c>
      <x:c r="E16" s="14" t="n">
        <x:f>C16-D16</x:f>
        <x:v>55515</x:v>
      </x:c>
      <x:c r="F16" s="16" t="n">
        <x:f>IFERROR(C16/D16-1,0)</x:f>
        <x:v>0.30941883990926167</x:v>
      </x:c>
      <x:c r="G16" s="16" t="n">
        <x:f>IFERROR(C16/$C$5,0)</x:f>
        <x:v>0.007234330608095847</x:v>
      </x:c>
      <x:c r="H16" s="16" t="n">
        <x:f>IFERROR(D16/$D$5,0)</x:f>
        <x:v>0.006394809417984556</x:v>
      </x:c>
    </x:row>
    <x:row r="17" ht="20" customHeight="1">
      <x:c r="A17" t="str">
        <x:v>2.01.05.02.08</x:v>
      </x:c>
      <x:c r="B17" t="str">
        <x:v>Fornecedores - Risco Sacado e Forfaiting</x:v>
      </x:c>
      <x:c r="C17" s="14" t="n">
        <x:v>537233</x:v>
      </x:c>
      <x:c r="D17" s="14" t="n">
        <x:v>187773</x:v>
      </x:c>
      <x:c r="E17" s="14" t="n">
        <x:f>C17-D17</x:f>
        <x:v>349460</x:v>
      </x:c>
      <x:c r="F17" s="16" t="n">
        <x:f>IFERROR(C17/D17-1,0)</x:f>
        <x:v>1.861076938644001</x:v>
      </x:c>
      <x:c r="G17" s="16" t="n">
        <x:f>IFERROR(C17/$C$5,0)</x:f>
        <x:v>0.01654317477218581</x:v>
      </x:c>
      <x:c r="H17" s="16" t="n">
        <x:f>IFERROR(D17/$D$5,0)</x:f>
        <x:v>0.006692635306817158</x:v>
      </x:c>
    </x:row>
    <x:row r="18" ht="20" customHeight="1">
      <x:c r="A18" t="str">
        <x:v>2.01.06</x:v>
      </x:c>
      <x:c r="B18" t="str">
        <x:v>Provisões</x:v>
      </x:c>
      <x:c r="C18" s="14" t="n">
        <x:v>5716</x:v>
      </x:c>
      <x:c r="D18" s="14" t="n">
        <x:v>10952</x:v>
      </x:c>
      <x:c r="E18" s="14" t="n">
        <x:f>C18-D18</x:f>
        <x:v>-5236</x:v>
      </x:c>
      <x:c r="F18" s="16" t="n">
        <x:f>IFERROR(C18/D18-1,0)</x:f>
        <x:v>-0.4780861943024105</x:v>
      </x:c>
      <x:c r="G18" s="16" t="n">
        <x:f>IFERROR(C18/$C$5,0)</x:f>
        <x:v>0.00017601447974680275</x:v>
      </x:c>
      <x:c r="H18" s="16" t="n">
        <x:f>IFERROR(D18/$D$5,0)</x:f>
        <x:v>0.0003903529361530226</x:v>
      </x:c>
    </x:row>
    <x:row r="19" ht="20" customHeight="1">
      <x:c r="A19" t="str">
        <x:v>2.01.06.01</x:v>
      </x:c>
      <x:c r="B19" t="str">
        <x:v>Provisões Fiscais Previdenciárias Trabalhistas e Cíveis</x:v>
      </x:c>
      <x:c r="C19" s="14" t="n">
        <x:v>5716</x:v>
      </x:c>
      <x:c r="D19" s="14" t="n">
        <x:v>10952</x:v>
      </x:c>
      <x:c r="E19" s="14" t="n">
        <x:f>C19-D19</x:f>
        <x:v>-5236</x:v>
      </x:c>
      <x:c r="F19" s="16" t="n">
        <x:f>IFERROR(C19/D19-1,0)</x:f>
        <x:v>-0.4780861943024105</x:v>
      </x:c>
      <x:c r="G19" s="16" t="n">
        <x:f>IFERROR(C19/$C$5,0)</x:f>
        <x:v>0.00017601447974680275</x:v>
      </x:c>
      <x:c r="H19" s="16" t="n">
        <x:f>IFERROR(D19/$D$5,0)</x:f>
        <x:v>0.0003903529361530226</x:v>
      </x:c>
    </x:row>
    <x:row r="20" ht="20" customHeight="1">
      <x:c r="A20" t="str">
        <x:v>2.02</x:v>
      </x:c>
      <x:c r="B20" t="str">
        <x:v>Passivo Não Circulante</x:v>
      </x:c>
      <x:c r="C20" s="14" t="n">
        <x:v>16419309</x:v>
      </x:c>
      <x:c r="D20" s="14" t="n">
        <x:v>12420453</x:v>
      </x:c>
      <x:c r="E20" s="14" t="n">
        <x:f>C20-D20</x:f>
        <x:v>3998856</x:v>
      </x:c>
      <x:c r="F20" s="16" t="n">
        <x:f>IFERROR(C20/D20-1,0)</x:f>
        <x:v>0.32195733923714376</x:v>
      </x:c>
      <x:c r="G20" s="16" t="n">
        <x:f>IFERROR(C20/$C$5,0)</x:f>
        <x:v>0.5056046416089915</x:v>
      </x:c>
      <x:c r="H20" s="16" t="n">
        <x:f>IFERROR(D20/$D$5,0)</x:f>
        <x:v>0.44269177290911416</x:v>
      </x:c>
    </x:row>
    <x:row r="21" ht="20" customHeight="1">
      <x:c r="A21" t="str">
        <x:v>2.02.01</x:v>
      </x:c>
      <x:c r="B21" t="str">
        <x:v>Empréstimos e Financiamentos</x:v>
      </x:c>
      <x:c r="C21" s="14" t="n">
        <x:v>7535494</x:v>
      </x:c>
      <x:c r="D21" s="14" t="n">
        <x:v>8788702</x:v>
      </x:c>
      <x:c r="E21" s="14" t="n">
        <x:f>C21-D21</x:f>
        <x:v>-1253208</x:v>
      </x:c>
      <x:c r="F21" s="16" t="n">
        <x:f>IFERROR(C21/D21-1,0)</x:f>
        <x:v>-0.14259307005744426</x:v>
      </x:c>
      <x:c r="G21" s="16" t="n">
        <x:f>IFERROR(C21/$C$5,0)</x:f>
        <x:v>0.23204269699880223</x:v>
      </x:c>
      <x:c r="H21" s="16" t="n">
        <x:f>IFERROR(D21/$D$5,0)</x:f>
        <x:v>0.3132483227423249</x:v>
      </x:c>
    </x:row>
    <x:row r="22" ht="20" customHeight="1">
      <x:c r="A22" t="str">
        <x:v>2.02.02</x:v>
      </x:c>
      <x:c r="B22" t="str">
        <x:v>Outras Obrigações</x:v>
      </x:c>
      <x:c r="C22" s="14" t="n">
        <x:v>8612677</x:v>
      </x:c>
      <x:c r="D22" s="14" t="n">
        <x:v>3533184</x:v>
      </x:c>
      <x:c r="E22" s="14" t="n">
        <x:f>C22-D22</x:f>
        <x:v>5079493</x:v>
      </x:c>
      <x:c r="F22" s="16" t="n">
        <x:f>IFERROR(C22/D22-1,0)</x:f>
        <x:v>1.4376531196790205</x:v>
      </x:c>
      <x:c r="G22" s="16" t="n">
        <x:f>IFERROR(C22/$C$5,0)</x:f>
        <x:v>0.2652127119283159</x:v>
      </x:c>
      <x:c r="H22" s="16" t="n">
        <x:f>IFERROR(D22/$D$5,0)</x:f>
        <x:v>0.12593030938357205</x:v>
      </x:c>
    </x:row>
    <x:row r="23" ht="20" customHeight="1">
      <x:c r="A23" t="str">
        <x:v>2.02.02.02</x:v>
      </x:c>
      <x:c r="B23" t="str">
        <x:v>Outros</x:v>
      </x:c>
      <x:c r="C23" s="14" t="n">
        <x:v>8612677</x:v>
      </x:c>
      <x:c r="D23" s="14" t="n">
        <x:v>3533184</x:v>
      </x:c>
      <x:c r="E23" s="14" t="n">
        <x:f>C23-D23</x:f>
        <x:v>5079493</x:v>
      </x:c>
      <x:c r="F23" s="16" t="n">
        <x:f>IFERROR(C23/D23-1,0)</x:f>
        <x:v>1.4376531196790205</x:v>
      </x:c>
      <x:c r="G23" s="16" t="n">
        <x:f>IFERROR(C23/$C$5,0)</x:f>
        <x:v>0.2652127119283159</x:v>
      </x:c>
      <x:c r="H23" s="16" t="n">
        <x:f>IFERROR(D23/$D$5,0)</x:f>
        <x:v>0.12593030938357205</x:v>
      </x:c>
    </x:row>
    <x:row r="24" ht="20" customHeight="1">
      <x:c r="A24" t="str">
        <x:v>2.02.02.02.03</x:v>
      </x:c>
      <x:c r="B24" t="str">
        <x:v>Passivos de arredamentos</x:v>
      </x:c>
      <x:c r="C24" s="14" t="n">
        <x:v>116702</x:v>
      </x:c>
      <x:c r="D24" s="14" t="n">
        <x:v>110071</x:v>
      </x:c>
      <x:c r="E24" s="14" t="n">
        <x:f>C24-D24</x:f>
        <x:v>6631</x:v>
      </x:c>
      <x:c r="F24" s="16" t="n">
        <x:f>IFERROR(C24/D24-1,0)</x:f>
        <x:v>0.06024293410616788</x:v>
      </x:c>
      <x:c r="G24" s="16" t="n">
        <x:f>IFERROR(C24/$C$5,0)</x:f>
        <x:v>0.0035936392259292116</x:v>
      </x:c>
      <x:c r="H24" s="16" t="n">
        <x:f>IFERROR(D24/$D$5,0)</x:f>
        <x:v>0.003923168191681825</x:v>
      </x:c>
    </x:row>
    <x:row r="25" ht="20" customHeight="1">
      <x:c r="A25" t="str">
        <x:v>2.02.02.02.04</x:v>
      </x:c>
      <x:c r="B25" t="str">
        <x:v>Adiantamento de clientes</x:v>
      </x:c>
      <x:c r="C25" s="14" t="n">
        <x:v>7794371</x:v>
      </x:c>
      <x:c r="D25" s="14" t="n">
        <x:v>2731732</x:v>
      </x:c>
      <x:c r="E25" s="14" t="n">
        <x:f>C25-D25</x:f>
        <x:v>5062639</x:v>
      </x:c>
      <x:c r="F25" s="16" t="n">
        <x:f>IFERROR(C25/D25-1,0)</x:f>
        <x:v>1.8532707454464785</x:v>
      </x:c>
      <x:c r="G25" s="16" t="n">
        <x:f>IFERROR(C25/$C$5,0)</x:f>
        <x:v>0.2400143730788255</x:v>
      </x:c>
      <x:c r="H25" s="16" t="n">
        <x:f>IFERROR(D25/$D$5,0)</x:f>
        <x:v>0.09736482897947123</x:v>
      </x:c>
    </x:row>
    <x:row r="26" ht="20" customHeight="1">
      <x:c r="A26" t="str">
        <x:v>2.02.02.02.05</x:v>
      </x:c>
      <x:c r="B26" t="str">
        <x:v>Tributos a recolher</x:v>
      </x:c>
      <x:c r="C26" s="14" t="n">
        <x:v>0</x:v>
      </x:c>
      <x:c r="D26" s="14" t="n">
        <x:v>20482</x:v>
      </x:c>
      <x:c r="E26" s="14" t="n">
        <x:f>C26-D26</x:f>
        <x:v>-20482</x:v>
      </x:c>
      <x:c r="F26" s="16" t="n">
        <x:f>IFERROR(C26/D26-1,0)</x:f>
        <x:v>-1</x:v>
      </x:c>
      <x:c r="G26" s="16" t="n">
        <x:f>IFERROR(C26/$C$5,0)</x:f>
        <x:v>0</x:v>
      </x:c>
      <x:c r="H26" s="16" t="n">
        <x:f>IFERROR(D26/$D$5,0)</x:f>
        <x:v>0.0007300227208077254</x:v>
      </x:c>
    </x:row>
    <x:row r="27" ht="20" customHeight="1">
      <x:c r="A27" t="str">
        <x:v>2.02.02.02.06</x:v>
      </x:c>
      <x:c r="B27" t="str">
        <x:v>Passivos ambientais e desativação (ARO)</x:v>
      </x:c>
      <x:c r="C27" s="14" t="n">
        <x:v>681783</x:v>
      </x:c>
      <x:c r="D27" s="14" t="n">
        <x:v>605167</x:v>
      </x:c>
      <x:c r="E27" s="14" t="n">
        <x:f>C27-D27</x:f>
        <x:v>76616</x:v>
      </x:c>
      <x:c r="F27" s="16" t="n">
        <x:f>IFERROR(C27/D27-1,0)</x:f>
        <x:v>0.12660306989640868</x:v>
      </x:c>
      <x:c r="G27" s="16" t="n">
        <x:f>IFERROR(C27/$C$5,0)</x:f>
        <x:v>0.02099434570420126</x:v>
      </x:c>
      <x:c r="H27" s="16" t="n">
        <x:f>IFERROR(D27/$D$5,0)</x:f>
        <x:v>0.02156945903149345</x:v>
      </x:c>
    </x:row>
    <x:row r="28" ht="20" customHeight="1">
      <x:c r="A28" t="str">
        <x:v>2.02.02.02.07</x:v>
      </x:c>
      <x:c r="B28" t="str">
        <x:v>Outras Obrigações</x:v>
      </x:c>
      <x:c r="C28" s="14" t="n">
        <x:v>17318</x:v>
      </x:c>
      <x:c r="D28" s="14" t="n">
        <x:v>23408</x:v>
      </x:c>
      <x:c r="E28" s="14" t="n">
        <x:f>C28-D28</x:f>
        <x:v>-6090</x:v>
      </x:c>
      <x:c r="F28" s="16" t="n">
        <x:f>IFERROR(C28/D28-1,0)</x:f>
        <x:v>-0.2601674641148325</x:v>
      </x:c>
      <x:c r="G28" s="16" t="n">
        <x:f>IFERROR(C28/$C$5,0)</x:f>
        <x:v>0.0005332782995547812</x:v>
      </x:c>
      <x:c r="H28" s="16" t="n">
        <x:f>IFERROR(D28/$D$5,0)</x:f>
        <x:v>0.0008343116809231148</x:v>
      </x:c>
    </x:row>
    <x:row r="29" ht="20" customHeight="1">
      <x:c r="A29" t="str">
        <x:v>2.02.02.02.08</x:v>
      </x:c>
      <x:c r="B29" t="str">
        <x:v>Fornecedores</x:v>
      </x:c>
      <x:c r="C29" s="14" t="n">
        <x:v>2503</x:v>
      </x:c>
      <x:c r="D29" s="14" t="n">
        <x:v>42324</x:v>
      </x:c>
      <x:c r="E29" s="14" t="n">
        <x:f>C29-D29</x:f>
        <x:v>-39821</x:v>
      </x:c>
      <x:c r="F29" s="16" t="n">
        <x:f>IFERROR(C29/D29-1,0)</x:f>
        <x:v>-0.9408609772233248</x:v>
      </x:c>
      <x:c r="G29" s="16" t="n">
        <x:f>IFERROR(C29/$C$5,0)</x:f>
        <x:v>0.00007707561980515172</x:v>
      </x:c>
      <x:c r="H29" s="16" t="n">
        <x:f>IFERROR(D29/$D$5,0)</x:f>
        <x:v>0.001508518779194716</x:v>
      </x:c>
    </x:row>
    <x:row r="30" ht="20" customHeight="1">
      <x:c r="A30" t="str">
        <x:v>2.02.03</x:v>
      </x:c>
      <x:c r="B30" t="str">
        <x:v>Tributos Diferidos</x:v>
      </x:c>
      <x:c r="C30" s="14" t="n">
        <x:v>132773</x:v>
      </x:c>
      <x:c r="D30" s="14" t="n">
        <x:v>0</x:v>
      </x:c>
      <x:c r="E30" s="14" t="n">
        <x:f>C30-D30</x:f>
        <x:v>132773</x:v>
      </x:c>
      <x:c r="F30" s="16" t="n">
        <x:f>IFERROR(C30/D30-1,0)</x:f>
        <x:v>0</x:v>
      </x:c>
      <x:c r="G30" s="16" t="n">
        <x:f>IFERROR(C30/$C$5,0)</x:f>
        <x:v>0.004088518285413268</x:v>
      </x:c>
      <x:c r="H30" s="16" t="n">
        <x:f>IFERROR(D30/$D$5,0)</x:f>
        <x:v>0</x:v>
      </x:c>
    </x:row>
    <x:row r="31" ht="20" customHeight="1">
      <x:c r="A31" t="str">
        <x:v>2.02.04</x:v>
      </x:c>
      <x:c r="B31" t="str">
        <x:v>Provisões</x:v>
      </x:c>
      <x:c r="C31" s="14" t="n">
        <x:v>138365</x:v>
      </x:c>
      <x:c r="D31" s="14" t="n">
        <x:v>98567</x:v>
      </x:c>
      <x:c r="E31" s="14" t="n">
        <x:f>C31-D31</x:f>
        <x:v>39798</x:v>
      </x:c>
      <x:c r="F31" s="16" t="n">
        <x:f>IFERROR(C31/D31-1,0)</x:f>
        <x:v>0.40376596629703654</x:v>
      </x:c>
      <x:c r="G31" s="16" t="n">
        <x:f>IFERROR(C31/$C$5,0)</x:f>
        <x:v>0.004260714396460175</x:v>
      </x:c>
      <x:c r="H31" s="16" t="n">
        <x:f>IFERROR(D31/$D$5,0)</x:f>
        <x:v>0.003513140783217219</x:v>
      </x:c>
    </x:row>
    <x:row r="32" ht="20" customHeight="1">
      <x:c r="A32" t="str">
        <x:v>2.02.04.01</x:v>
      </x:c>
      <x:c r="B32" t="str">
        <x:v>Provisões Fiscais Previdenciárias Trabalhistas e Cíveis</x:v>
      </x:c>
      <x:c r="C32" s="14" t="n">
        <x:v>138365</x:v>
      </x:c>
      <x:c r="D32" s="14" t="n">
        <x:v>98567</x:v>
      </x:c>
      <x:c r="E32" s="14" t="n">
        <x:f>C32-D32</x:f>
        <x:v>39798</x:v>
      </x:c>
      <x:c r="F32" s="16" t="n">
        <x:f>IFERROR(C32/D32-1,0)</x:f>
        <x:v>0.40376596629703654</x:v>
      </x:c>
      <x:c r="G32" s="16" t="n">
        <x:f>IFERROR(C32/$C$5,0)</x:f>
        <x:v>0.004260714396460175</x:v>
      </x:c>
      <x:c r="H32" s="16" t="n">
        <x:f>IFERROR(D32/$D$5,0)</x:f>
        <x:v>0.003513140783217219</x:v>
      </x:c>
    </x:row>
    <x:row r="33" ht="20" customHeight="1">
      <x:c r="A33" t="str">
        <x:v>2.03</x:v>
      </x:c>
      <x:c r="B33" t="str">
        <x:v>Patrimônio Líquido</x:v>
      </x:c>
      <x:c r="C33" s="14" t="n">
        <x:v>6680126</x:v>
      </x:c>
      <x:c r="D33" s="14" t="n">
        <x:v>10269114</x:v>
      </x:c>
      <x:c r="E33" s="14" t="n">
        <x:f>C33-D33</x:f>
        <x:v>-3588988</x:v>
      </x:c>
      <x:c r="F33" s="16" t="n">
        <x:f>IFERROR(C33/D33-1,0)</x:f>
        <x:v>-0.34949344218011413</x:v>
      </x:c>
      <x:c r="G33" s="16" t="n">
        <x:f>IFERROR(C33/$C$5,0)</x:f>
        <x:v>0.20570309701418657</x:v>
      </x:c>
      <x:c r="H33" s="16" t="n">
        <x:f>IFERROR(D33/$D$5,0)</x:f>
        <x:v>0.3660134040896741</x:v>
      </x:c>
    </x:row>
    <x:row r="34" ht="20" customHeight="1">
      <x:c r="A34" t="str">
        <x:v>2.03.01</x:v>
      </x:c>
      <x:c r="B34" t="str">
        <x:v>Capital Social Realizado</x:v>
      </x:c>
      <x:c r="C34" s="14" t="n">
        <x:v>7473980</x:v>
      </x:c>
      <x:c r="D34" s="14" t="n">
        <x:v>7473980</x:v>
      </x:c>
      <x:c r="E34" s="14" t="n">
        <x:f>C34-D34</x:f>
        <x:v>0</x:v>
      </x:c>
      <x:c r="F34" s="16" t="n">
        <x:f>IFERROR(C34/D34-1,0)</x:f>
        <x:v>0</x:v>
      </x:c>
      <x:c r="G34" s="16" t="n">
        <x:f>IFERROR(C34/$C$5,0)</x:f>
        <x:v>0.2301484781906943</x:v>
      </x:c>
      <x:c r="H34" s="16" t="n">
        <x:f>IFERROR(D34/$D$5,0)</x:f>
        <x:v>0.26638879088284956</x:v>
      </x:c>
    </x:row>
    <x:row r="35" ht="20" customHeight="1">
      <x:c r="A35" t="str">
        <x:v>2.03.02</x:v>
      </x:c>
      <x:c r="B35" t="str">
        <x:v>Reservas de Capital</x:v>
      </x:c>
      <x:c r="C35" s="14" t="n">
        <x:v>-2224036</x:v>
      </x:c>
      <x:c r="D35" s="14" t="n">
        <x:v>127042</x:v>
      </x:c>
      <x:c r="E35" s="14" t="n">
        <x:f>C35-D35</x:f>
        <x:v>-2351078</x:v>
      </x:c>
      <x:c r="F35" s="16" t="n">
        <x:f>IFERROR(C35/D35-1,0)</x:f>
        <x:v>-18.50630500149557</x:v>
      </x:c>
      <x:c r="G35" s="16" t="n">
        <x:f>IFERROR(C35/$C$5,0)</x:f>
        <x:v>-0.06848539878904132</x:v>
      </x:c>
      <x:c r="H35" s="16" t="n">
        <x:f>IFERROR(D35/$D$5,0)</x:f>
        <x:v>0.004528051288783081</x:v>
      </x:c>
    </x:row>
    <x:row r="36" ht="20" customHeight="1">
      <x:c r="A36" t="str">
        <x:v>2.03.04</x:v>
      </x:c>
      <x:c r="B36" t="str">
        <x:v>Reservas de Lucros</x:v>
      </x:c>
      <x:c r="C36" s="14" t="n">
        <x:v>1494796</x:v>
      </x:c>
      <x:c r="D36" s="14" t="n">
        <x:v>3240661</x:v>
      </x:c>
      <x:c r="E36" s="14" t="n">
        <x:f>C36-D36</x:f>
        <x:v>-1745865</x:v>
      </x:c>
      <x:c r="F36" s="16" t="n">
        <x:f>IFERROR(C36/D36-1,0)</x:f>
        <x:v>-0.5387373131592598</x:v>
      </x:c>
      <x:c r="G36" s="16" t="n">
        <x:f>IFERROR(C36/$C$5,0)</x:f>
        <x:v>0.046029695638138864</x:v>
      </x:c>
      <x:c r="H36" s="16" t="n">
        <x:f>IFERROR(D36/$D$5,0)</x:f>
        <x:v>0.11550415781835194</x:v>
      </x:c>
    </x:row>
    <x:row r="37" ht="20" customHeight="1">
      <x:c r="A37" t="str">
        <x:v>2.03.04.01</x:v>
      </x:c>
      <x:c r="B37" t="str">
        <x:v>Reserva Legal</x:v>
      </x:c>
      <x:c r="C37" s="14" t="n">
        <x:v>1494796</x:v>
      </x:c>
      <x:c r="D37" s="14" t="n">
        <x:v>1492518</x:v>
      </x:c>
      <x:c r="E37" s="14" t="n">
        <x:f>C37-D37</x:f>
        <x:v>2278</x:v>
      </x:c>
      <x:c r="F37" s="16" t="n">
        <x:f>IFERROR(C37/D37-1,0)</x:f>
        <x:v>0.0015262797500599223</x:v>
      </x:c>
      <x:c r="G37" s="16" t="n">
        <x:f>IFERROR(C37/$C$5,0)</x:f>
        <x:v>0.046029695638138864</x:v>
      </x:c>
      <x:c r="H37" s="16" t="n">
        <x:f>IFERROR(D37/$D$5,0)</x:f>
        <x:v>0.053196565336124636</x:v>
      </x:c>
    </x:row>
    <x:row r="38" ht="20" customHeight="1">
      <x:c r="A38" t="str">
        <x:v>2.03.04.09</x:v>
      </x:c>
      <x:c r="B38" t="str">
        <x:v>Ações em Tesouraria</x:v>
      </x:c>
      <x:c r="C38" s="14" t="n">
        <x:v>-324341</x:v>
      </x:c>
      <x:c r="D38" s="14" t="n">
        <x:v>-324341</x:v>
      </x:c>
      <x:c r="E38" s="14" t="n">
        <x:f>C38-D38</x:f>
        <x:v>0</x:v>
      </x:c>
      <x:c r="F38" s="16" t="n">
        <x:f>IFERROR(C38/D38-1,0)</x:f>
        <x:v>0</x:v>
      </x:c>
      <x:c r="G38" s="16" t="n">
        <x:f>IFERROR(C38/$C$5,0)</x:f>
        <x:v>-0.009987528407200446</x:v>
      </x:c>
      <x:c r="H38" s="16" t="n">
        <x:f>IFERROR(D38/$D$5,0)</x:f>
        <x:v>-0.011560213811615002</x:v>
      </x:c>
    </x:row>
    <x:row r="39" ht="20" customHeight="1">
      <x:c r="A39" t="str">
        <x:v>2.03.04.10</x:v>
      </x:c>
      <x:c r="B39" t="str">
        <x:v>Reserva Investimentos</x:v>
      </x:c>
      <x:c r="C39" s="14" t="n">
        <x:v>324341</x:v>
      </x:c>
      <x:c r="D39" s="14" t="n">
        <x:v>2072484</x:v>
      </x:c>
      <x:c r="E39" s="14" t="n">
        <x:f>C39-D39</x:f>
        <x:v>-1748143</x:v>
      </x:c>
      <x:c r="F39" s="16" t="n">
        <x:f>IFERROR(C39/D39-1,0)</x:f>
        <x:v>-0.8435013249800722</x:v>
      </x:c>
      <x:c r="G39" s="16" t="n">
        <x:f>IFERROR(C39/$C$5,0)</x:f>
        <x:v>0.009987528407200446</x:v>
      </x:c>
      <x:c r="H39" s="16" t="n">
        <x:f>IFERROR(D39/$D$5,0)</x:f>
        <x:v>0.0738678062938423</x:v>
      </x:c>
    </x:row>
    <x:row r="40" ht="20" customHeight="1">
      <x:c r="A40" t="str">
        <x:v>2.03.08</x:v>
      </x:c>
      <x:c r="B40" t="str">
        <x:v>Outros Resultados Abrangentes</x:v>
      </x:c>
      <x:c r="C40" s="14" t="n">
        <x:v>-64614</x:v>
      </x:c>
      <x:c r="D40" s="14" t="n">
        <x:v>-572569</x:v>
      </x:c>
      <x:c r="E40" s="14" t="n">
        <x:f>C40-D40</x:f>
        <x:v>507955</x:v>
      </x:c>
      <x:c r="F40" s="16" t="n">
        <x:f>IFERROR(C40/D40-1,0)</x:f>
        <x:v>-0.8871507189526503</x:v>
      </x:c>
      <x:c r="G40" s="16" t="n">
        <x:f>IFERROR(C40/$C$5,0)</x:f>
        <x:v>-0.001989678025605303</x:v>
      </x:c>
      <x:c r="H40" s="16" t="n">
        <x:f>IFERROR(D40/$D$5,0)</x:f>
        <x:v>-0.02040759590031045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7" hidden="0" customWidth="1"/>
    <x:col min="3" max="3" width="20" hidden="0" customWidth="1"/>
    <x:col min="4" max="4" width="20" hidden="0" customWidth="1"/>
    <x:col min="5" max="5" width="21" hidden="0" customWidth="1"/>
    <x:col min="6" max="6" width="16" hidden="0" customWidth="1"/>
    <x:col min="7" max="7" width="18" hidden="0" customWidth="1"/>
    <x:col min="8" max="8" width="18" hidden="0" customWidth="1"/>
  </x:cols>
  <x:sheetData>
    <x:row r="1" ht="32" customHeight="1">
      <x:c r="A1" s="3" t="str">
        <x:v>DRE INDIVIDUAL</x:v>
      </x:c>
      <x:c r="B1" s="3"/>
      <x:c r="C1" s="3"/>
      <x:c r="D1" s="3"/>
      <x:c r="E1" s="3"/>
      <x:c r="F1" s="3"/>
      <x:c r="G1" s="3"/>
      <x:c r="H1" s="3"/>
    </x:row>
    <x:row r="2" ht="25" customHeight="1">
      <x:c r="A2" s="7" t="str">
        <x:v>DFP 2025.pdf, CSN Mineração S.A., versão 2, 31/12/2025 | página PDF 5 | R$ mil</x:v>
      </x:c>
      <x:c r="B2" s="7"/>
      <x:c r="C2" s="7"/>
      <x:c r="D2" s="7"/>
      <x:c r="E2" s="7"/>
      <x:c r="F2" s="7"/>
      <x:c r="G2" s="7"/>
      <x:c r="H2" s="7"/>
    </x:row>
    <x:row r="4" ht="26" customHeight="1">
      <x:c r="A4" s="11" t="str">
        <x:v>Código</x:v>
      </x:c>
      <x:c r="B4" s="11" t="str">
        <x:v>Conta</x:v>
      </x:c>
      <x:c r="C4" s="11" t="str">
        <x:v>2025</x:v>
      </x:c>
      <x:c r="D4" s="11" t="str">
        <x:v>2024</x:v>
      </x:c>
      <x:c r="E4" s="11" t="str">
        <x:v>Variação R$ mil</x:v>
      </x:c>
      <x:c r="F4" s="11" t="str">
        <x:v>AH %</x:v>
      </x:c>
      <x:c r="G4" s="11" t="str">
        <x:v>AV 2025 %</x:v>
      </x:c>
      <x:c r="H4" s="11" t="str">
        <x:v>AV 2024 %</x:v>
      </x:c>
    </x:row>
    <x:row r="5" ht="20" customHeight="1">
      <x:c r="A5" t="str">
        <x:v>3.01</x:v>
      </x:c>
      <x:c r="B5" t="str">
        <x:v>Receita de Venda de Bens e/ou Serviços</x:v>
      </x:c>
      <x:c r="C5" s="14" t="n">
        <x:v>14912928</x:v>
      </x:c>
      <x:c r="D5" s="14" t="n">
        <x:v>12833331</x:v>
      </x:c>
      <x:c r="E5" s="14" t="n">
        <x:f>C5-D5</x:f>
        <x:v>2079597</x:v>
      </x:c>
      <x:c r="F5" s="16" t="n">
        <x:f>IFERROR(C5/D5-1,0)</x:f>
        <x:v>0.16204654894352832</x:v>
      </x:c>
      <x:c r="G5" s="16" t="n">
        <x:f>IFERROR(C5/$C$5,0)</x:f>
        <x:v>1</x:v>
      </x:c>
      <x:c r="H5" s="16" t="n">
        <x:f>IFERROR(D5/$D$5,0)</x:f>
        <x:v>1</x:v>
      </x:c>
    </x:row>
    <x:row r="6" ht="20" customHeight="1">
      <x:c r="A6" t="str">
        <x:v>3.02</x:v>
      </x:c>
      <x:c r="B6" t="str">
        <x:v>Custo dos Bens e/ou Serviços Vendidos</x:v>
      </x:c>
      <x:c r="C6" s="14" t="n">
        <x:v>-9942196</x:v>
      </x:c>
      <x:c r="D6" s="14" t="n">
        <x:v>-8166365</x:v>
      </x:c>
      <x:c r="E6" s="14" t="n">
        <x:f>C6-D6</x:f>
        <x:v>-1775831</x:v>
      </x:c>
      <x:c r="F6" s="16" t="n">
        <x:f>IFERROR(C6/D6-1,0)</x:f>
        <x:v>0.21745672646275294</x:v>
      </x:c>
      <x:c r="G6" s="16" t="n">
        <x:f>IFERROR(C6/$C$5,0)</x:f>
        <x:v>-0.6666830283093971</x:v>
      </x:c>
      <x:c r="H6" s="16" t="n">
        <x:f>IFERROR(D6/$D$5,0)</x:f>
        <x:v>-0.6363402455683563</x:v>
      </x:c>
    </x:row>
    <x:row r="7" ht="20" customHeight="1">
      <x:c r="A7" t="str">
        <x:v>3.03</x:v>
      </x:c>
      <x:c r="B7" t="str">
        <x:v>Resultado Bruto</x:v>
      </x:c>
      <x:c r="C7" s="14" t="n">
        <x:v>4970732</x:v>
      </x:c>
      <x:c r="D7" s="14" t="n">
        <x:v>4666966</x:v>
      </x:c>
      <x:c r="E7" s="14" t="n">
        <x:f>C7-D7</x:f>
        <x:v>303766</x:v>
      </x:c>
      <x:c r="F7" s="16" t="n">
        <x:f>IFERROR(C7/D7-1,0)</x:f>
        <x:v>0.06508853932083492</x:v>
      </x:c>
      <x:c r="G7" s="16" t="n">
        <x:f>IFERROR(C7/$C$5,0)</x:f>
        <x:v>0.3333169716906029</x:v>
      </x:c>
      <x:c r="H7" s="16" t="n">
        <x:f>IFERROR(D7/$D$5,0)</x:f>
        <x:v>0.36365975443164367</x:v>
      </x:c>
    </x:row>
    <x:row r="8" ht="20" customHeight="1">
      <x:c r="A8" t="str">
        <x:v>3.04</x:v>
      </x:c>
      <x:c r="B8" t="str">
        <x:v>Despesas/Receitas Operacionais</x:v>
      </x:c>
      <x:c r="C8" s="14" t="n">
        <x:v>-1331662</x:v>
      </x:c>
      <x:c r="D8" s="14" t="n">
        <x:v>913999</x:v>
      </x:c>
      <x:c r="E8" s="14" t="n">
        <x:f>C8-D8</x:f>
        <x:v>-2245661</x:v>
      </x:c>
      <x:c r="F8" s="16" t="n">
        <x:f>IFERROR(C8/D8-1,0)</x:f>
        <x:v>-2.4569622067420207</x:v>
      </x:c>
      <x:c r="G8" s="16" t="n">
        <x:f>IFERROR(C8/$C$5,0)</x:f>
        <x:v>-0.08929581099030318</x:v>
      </x:c>
      <x:c r="H8" s="16" t="n">
        <x:f>IFERROR(D8/$D$5,0)</x:f>
        <x:v>0.07122071424792208</x:v>
      </x:c>
    </x:row>
    <x:row r="9" ht="20" customHeight="1">
      <x:c r="A9" t="str">
        <x:v>3.04.01</x:v>
      </x:c>
      <x:c r="B9" t="str">
        <x:v>Despesas com Vendas</x:v>
      </x:c>
      <x:c r="C9" s="14" t="n">
        <x:v>-102540</x:v>
      </x:c>
      <x:c r="D9" s="14" t="n">
        <x:v>-365244</x:v>
      </x:c>
      <x:c r="E9" s="14" t="n">
        <x:f>C9-D9</x:f>
        <x:v>262704</x:v>
      </x:c>
      <x:c r="F9" s="16" t="n">
        <x:f>IFERROR(C9/D9-1,0)</x:f>
        <x:v>-0.7192561684791536</x:v>
      </x:c>
      <x:c r="G9" s="16" t="n">
        <x:f>IFERROR(C9/$C$5,0)</x:f>
        <x:v>-0.006875913301532737</x:v>
      </x:c>
      <x:c r="H9" s="16" t="n">
        <x:f>IFERROR(D9/$D$5,0)</x:f>
        <x:v>-0.02846057660322172</x:v>
      </x:c>
    </x:row>
    <x:row r="10" ht="20" customHeight="1">
      <x:c r="A10" t="str">
        <x:v>3.04.02</x:v>
      </x:c>
      <x:c r="B10" t="str">
        <x:v>Despesas Gerais e Administrativas</x:v>
      </x:c>
      <x:c r="C10" s="14" t="n">
        <x:v>-152204</x:v>
      </x:c>
      <x:c r="D10" s="14" t="n">
        <x:v>-153892</x:v>
      </x:c>
      <x:c r="E10" s="14" t="n">
        <x:f>C10-D10</x:f>
        <x:v>1688</x:v>
      </x:c>
      <x:c r="F10" s="16" t="n">
        <x:f>IFERROR(C10/D10-1,0)</x:f>
        <x:v>-0.010968731318067193</x:v>
      </x:c>
      <x:c r="G10" s="16" t="n">
        <x:f>IFERROR(C10/$C$5,0)</x:f>
        <x:v>-0.010206178156294994</x:v>
      </x:c>
      <x:c r="H10" s="16" t="n">
        <x:f>IFERROR(D10/$D$5,0)</x:f>
        <x:v>-0.011991586595872888</x:v>
      </x:c>
    </x:row>
    <x:row r="11" ht="20" customHeight="1">
      <x:c r="A11" t="str">
        <x:v>3.04.04</x:v>
      </x:c>
      <x:c r="B11" t="str">
        <x:v>Outras Receitas Operacionais</x:v>
      </x:c>
      <x:c r="C11" s="14" t="n">
        <x:v>71657</x:v>
      </x:c>
      <x:c r="D11" s="14" t="n">
        <x:v>441382</x:v>
      </x:c>
      <x:c r="E11" s="14" t="n">
        <x:f>C11-D11</x:f>
        <x:v>-369725</x:v>
      </x:c>
      <x:c r="F11" s="16" t="n">
        <x:f>IFERROR(C11/D11-1,0)</x:f>
        <x:v>-0.8376530986764299</x:v>
      </x:c>
      <x:c r="G11" s="16" t="n">
        <x:f>IFERROR(C11/$C$5,0)</x:f>
        <x:v>0.0048050255456205514</x:v>
      </x:c>
      <x:c r="H11" s="16" t="n">
        <x:f>IFERROR(D11/$D$5,0)</x:f>
        <x:v>0.03439340885074966</x:v>
      </x:c>
    </x:row>
    <x:row r="12" ht="20" customHeight="1">
      <x:c r="A12" t="str">
        <x:v>3.04.05</x:v>
      </x:c>
      <x:c r="B12" t="str">
        <x:v>Outras Despesas Operacionais</x:v>
      </x:c>
      <x:c r="C12" s="14" t="n">
        <x:v>-448944</x:v>
      </x:c>
      <x:c r="D12" s="14" t="n">
        <x:v>-408588</x:v>
      </x:c>
      <x:c r="E12" s="14" t="n">
        <x:f>C12-D12</x:f>
        <x:v>-40356</x:v>
      </x:c>
      <x:c r="F12" s="16" t="n">
        <x:f>IFERROR(C12/D12-1,0)</x:f>
        <x:v>0.09876942054098503</x:v>
      </x:c>
      <x:c r="G12" s="16" t="n">
        <x:f>IFERROR(C12/$C$5,0)</x:f>
        <x:v>-0.030104349729308692</x:v>
      </x:c>
      <x:c r="H12" s="16" t="n">
        <x:f>IFERROR(D12/$D$5,0)</x:f>
        <x:v>-0.03183803176275902</x:v>
      </x:c>
    </x:row>
    <x:row r="13" ht="20" customHeight="1">
      <x:c r="A13" t="str">
        <x:v>3.04.06</x:v>
      </x:c>
      <x:c r="B13" t="str">
        <x:v>Resultado de Equivalência Patrimonial</x:v>
      </x:c>
      <x:c r="C13" s="14" t="n">
        <x:v>-699631</x:v>
      </x:c>
      <x:c r="D13" s="14" t="n">
        <x:v>1400341</x:v>
      </x:c>
      <x:c r="E13" s="14" t="n">
        <x:f>C13-D13</x:f>
        <x:v>-2099972</x:v>
      </x:c>
      <x:c r="F13" s="16" t="n">
        <x:f>IFERROR(C13/D13-1,0)</x:f>
        <x:v>-1.4996147366962762</x:v>
      </x:c>
      <x:c r="G13" s="16" t="n">
        <x:f>IFERROR(C13/$C$5,0)</x:f>
        <x:v>-0.04691439534878731</x:v>
      </x:c>
      <x:c r="H13" s="16" t="n">
        <x:f>IFERROR(D13/$D$5,0)</x:f>
        <x:v>0.10911750035902604</x:v>
      </x:c>
    </x:row>
    <x:row r="14" ht="20" customHeight="1">
      <x:c r="A14" t="str">
        <x:v>3.05</x:v>
      </x:c>
      <x:c r="B14" t="str">
        <x:v>Resultado Antes do Resultado Financeiro e dos Tributos</x:v>
      </x:c>
      <x:c r="C14" s="14" t="n">
        <x:v>3639070</x:v>
      </x:c>
      <x:c r="D14" s="14" t="n">
        <x:v>5580965</x:v>
      </x:c>
      <x:c r="E14" s="14" t="n">
        <x:f>C14-D14</x:f>
        <x:v>-1941895</x:v>
      </x:c>
      <x:c r="F14" s="16" t="n">
        <x:f>IFERROR(C14/D14-1,0)</x:f>
        <x:v>-0.34794968253698066</x:v>
      </x:c>
      <x:c r="G14" s="16" t="n">
        <x:f>IFERROR(C14/$C$5,0)</x:f>
        <x:v>0.24402116070029978</x:v>
      </x:c>
      <x:c r="H14" s="16" t="n">
        <x:f>IFERROR(D14/$D$5,0)</x:f>
        <x:v>0.43488046867956576</x:v>
      </x:c>
    </x:row>
    <x:row r="15" ht="20" customHeight="1">
      <x:c r="A15" t="str">
        <x:v>3.06</x:v>
      </x:c>
      <x:c r="B15" t="str">
        <x:v>Resultado Financeiro</x:v>
      </x:c>
      <x:c r="C15" s="14" t="n">
        <x:v>-1278175</x:v>
      </x:c>
      <x:c r="D15" s="14" t="n">
        <x:v>72423</x:v>
      </x:c>
      <x:c r="E15" s="14" t="n">
        <x:f>C15-D15</x:f>
        <x:v>-1350598</x:v>
      </x:c>
      <x:c r="F15" s="16" t="n">
        <x:f>IFERROR(C15/D15-1,0)</x:f>
        <x:v>-18.648744183477625</x:v>
      </x:c>
      <x:c r="G15" s="16" t="n">
        <x:f>IFERROR(C15/$C$5,0)</x:f>
        <x:v>-0.0857091913807939</x:v>
      </x:c>
      <x:c r="H15" s="16" t="n">
        <x:f>IFERROR(D15/$D$5,0)</x:f>
        <x:v>0.00564335167541459</x:v>
      </x:c>
    </x:row>
    <x:row r="16" ht="20" customHeight="1">
      <x:c r="A16" t="str">
        <x:v>3.06.01</x:v>
      </x:c>
      <x:c r="B16" t="str">
        <x:v>Receitas Financeiras</x:v>
      </x:c>
      <x:c r="C16" s="14" t="n">
        <x:v>403377</x:v>
      </x:c>
      <x:c r="D16" s="14" t="n">
        <x:v>520463</x:v>
      </x:c>
      <x:c r="E16" s="14" t="n">
        <x:f>C16-D16</x:f>
        <x:v>-117086</x:v>
      </x:c>
      <x:c r="F16" s="16" t="n">
        <x:f>IFERROR(C16/D16-1,0)</x:f>
        <x:v>-0.22496507916989295</x:v>
      </x:c>
      <x:c r="G16" s="16" t="n">
        <x:f>IFERROR(C16/$C$5,0)</x:f>
        <x:v>0.027048812949408727</x:v>
      </x:c>
      <x:c r="H16" s="16" t="n">
        <x:f>IFERROR(D16/$D$5,0)</x:f>
        <x:v>0.04055556581529768</x:v>
      </x:c>
    </x:row>
    <x:row r="17" ht="20" customHeight="1">
      <x:c r="A17" t="str">
        <x:v>3.06.02</x:v>
      </x:c>
      <x:c r="B17" t="str">
        <x:v>Despesas Financeiras</x:v>
      </x:c>
      <x:c r="C17" s="14" t="n">
        <x:v>-1681552</x:v>
      </x:c>
      <x:c r="D17" s="14" t="n">
        <x:v>-448040</x:v>
      </x:c>
      <x:c r="E17" s="14" t="n">
        <x:f>C17-D17</x:f>
        <x:v>-1233512</x:v>
      </x:c>
      <x:c r="F17" s="16" t="n">
        <x:f>IFERROR(C17/D17-1,0)</x:f>
        <x:v>2.7531291848942057</x:v>
      </x:c>
      <x:c r="G17" s="16" t="n">
        <x:f>IFERROR(C17/$C$5,0)</x:f>
        <x:v>-0.11275800433020262</x:v>
      </x:c>
      <x:c r="H17" s="16" t="n">
        <x:f>IFERROR(D17/$D$5,0)</x:f>
        <x:v>-0.03491221413988309</x:v>
      </x:c>
    </x:row>
    <x:row r="18" ht="20" customHeight="1">
      <x:c r="A18" t="str">
        <x:v>3.06.02.01</x:v>
      </x:c>
      <x:c r="B18" t="str">
        <x:v>Despesas financeiras</x:v>
      </x:c>
      <x:c r="C18" s="14" t="n">
        <x:v>-1156079</x:v>
      </x:c>
      <x:c r="D18" s="14" t="n">
        <x:v>-1346244</x:v>
      </x:c>
      <x:c r="E18" s="14" t="n">
        <x:f>C18-D18</x:f>
        <x:v>190165</x:v>
      </x:c>
      <x:c r="F18" s="16" t="n">
        <x:f>IFERROR(C18/D18-1,0)</x:f>
        <x:v>-0.14125596845742672</x:v>
      </x:c>
      <x:c r="G18" s="16" t="n">
        <x:f>IFERROR(C18/$C$5,0)</x:f>
        <x:v>-0.07752193264796826</x:v>
      </x:c>
      <x:c r="H18" s="16" t="n">
        <x:f>IFERROR(D18/$D$5,0)</x:f>
        <x:v>-0.10490214894324786</x:v>
      </x:c>
    </x:row>
    <x:row r="19" ht="20" customHeight="1">
      <x:c r="A19" t="str">
        <x:v>3.06.02.02</x:v>
      </x:c>
      <x:c r="B19" t="str">
        <x:v>Variações monetárias e cambiais liquidas</x:v>
      </x:c>
      <x:c r="C19" s="14" t="n">
        <x:v>-525473</x:v>
      </x:c>
      <x:c r="D19" s="14" t="n">
        <x:v>898204</x:v>
      </x:c>
      <x:c r="E19" s="14" t="n">
        <x:f>C19-D19</x:f>
        <x:v>-1423677</x:v>
      </x:c>
      <x:c r="F19" s="16" t="n">
        <x:f>IFERROR(C19/D19-1,0)</x:f>
        <x:v>-1.5850263414547252</x:v>
      </x:c>
      <x:c r="G19" s="16" t="n">
        <x:f>IFERROR(C19/$C$5,0)</x:f>
        <x:v>-0.03523607168223437</x:v>
      </x:c>
      <x:c r="H19" s="16" t="n">
        <x:f>IFERROR(D19/$D$5,0)</x:f>
        <x:v>0.06998993480336477</x:v>
      </x:c>
    </x:row>
    <x:row r="20" ht="20" customHeight="1">
      <x:c r="A20" t="str">
        <x:v>3.07</x:v>
      </x:c>
      <x:c r="B20" t="str">
        <x:v>Resultado Antes dos Tributos sobre o Lucro</x:v>
      </x:c>
      <x:c r="C20" s="14" t="n">
        <x:v>2360895</x:v>
      </x:c>
      <x:c r="D20" s="14" t="n">
        <x:v>5653388</x:v>
      </x:c>
      <x:c r="E20" s="14" t="n">
        <x:f>C20-D20</x:f>
        <x:v>-3292493</x:v>
      </x:c>
      <x:c r="F20" s="16" t="n">
        <x:f>IFERROR(C20/D20-1,0)</x:f>
        <x:v>-0.5823928943139937</x:v>
      </x:c>
      <x:c r="G20" s="16" t="n">
        <x:f>IFERROR(C20/$C$5,0)</x:f>
        <x:v>0.15831196931950586</x:v>
      </x:c>
      <x:c r="H20" s="16" t="n">
        <x:f>IFERROR(D20/$D$5,0)</x:f>
        <x:v>0.44052382035498033</x:v>
      </x:c>
    </x:row>
    <x:row r="21" ht="20" customHeight="1">
      <x:c r="A21" t="str">
        <x:v>3.08</x:v>
      </x:c>
      <x:c r="B21" t="str">
        <x:v>Imposto de Renda e Contribuição Social sobre o Lucro</x:v>
      </x:c>
      <x:c r="C21" s="14" t="n">
        <x:v>-711248</x:v>
      </x:c>
      <x:c r="D21" s="14" t="n">
        <x:v>-1125669</x:v>
      </x:c>
      <x:c r="E21" s="14" t="n">
        <x:f>C21-D21</x:f>
        <x:v>414421</x:v>
      </x:c>
      <x:c r="F21" s="16" t="n">
        <x:f>IFERROR(C21/D21-1,0)</x:f>
        <x:v>-0.36815529254159085</x:v>
      </x:c>
      <x:c r="G21" s="16" t="n">
        <x:f>IFERROR(C21/$C$5,0)</x:f>
        <x:v>-0.04769338388812713</x:v>
      </x:c>
      <x:c r="H21" s="16" t="n">
        <x:f>IFERROR(D21/$D$5,0)</x:f>
        <x:v>-0.08771448348055544</x:v>
      </x:c>
    </x:row>
    <x:row r="22" ht="20" customHeight="1">
      <x:c r="A22" t="str">
        <x:v>3.08.01</x:v>
      </x:c>
      <x:c r="B22" t="str">
        <x:v>Corrente</x:v>
      </x:c>
      <x:c r="C22" s="14" t="n">
        <x:v>-701268</x:v>
      </x:c>
      <x:c r="D22" s="14" t="n">
        <x:v>-1170677</x:v>
      </x:c>
      <x:c r="E22" s="14" t="n">
        <x:f>C22-D22</x:f>
        <x:v>469409</x:v>
      </x:c>
      <x:c r="F22" s="16" t="n">
        <x:f>IFERROR(C22/D22-1,0)</x:f>
        <x:v>-0.400972257932803</x:v>
      </x:c>
      <x:c r="G22" s="16" t="n">
        <x:f>IFERROR(C22/$C$5,0)</x:f>
        <x:v>-0.04702416587808913</x:v>
      </x:c>
      <x:c r="H22" s="16" t="n">
        <x:f>IFERROR(D22/$D$5,0)</x:f>
        <x:v>-0.09122160100133005</x:v>
      </x:c>
    </x:row>
    <x:row r="23" ht="20" customHeight="1">
      <x:c r="A23" t="str">
        <x:v>3.08.02</x:v>
      </x:c>
      <x:c r="B23" t="str">
        <x:v>Diferido</x:v>
      </x:c>
      <x:c r="C23" s="14" t="n">
        <x:v>-9980</x:v>
      </x:c>
      <x:c r="D23" s="14" t="n">
        <x:v>45008</x:v>
      </x:c>
      <x:c r="E23" s="14" t="n">
        <x:f>C23-D23</x:f>
        <x:v>-54988</x:v>
      </x:c>
      <x:c r="F23" s="16" t="n">
        <x:f>IFERROR(C23/D23-1,0)</x:f>
        <x:v>-1.2217383576253111</x:v>
      </x:c>
      <x:c r="G23" s="16" t="n">
        <x:f>IFERROR(C23/$C$5,0)</x:f>
        <x:v>-0.000669218010038002</x:v>
      </x:c>
      <x:c r="H23" s="16" t="n">
        <x:f>IFERROR(D23/$D$5,0)</x:f>
        <x:v>0.003507117520774614</x:v>
      </x:c>
    </x:row>
    <x:row r="24" ht="20" customHeight="1">
      <x:c r="A24" t="str">
        <x:v>3.09</x:v>
      </x:c>
      <x:c r="B24" t="str">
        <x:v>Resultado Líquido das Operações Continuadas</x:v>
      </x:c>
      <x:c r="C24" s="14" t="n">
        <x:v>1649647</x:v>
      </x:c>
      <x:c r="D24" s="14" t="n">
        <x:v>4527719</x:v>
      </x:c>
      <x:c r="E24" s="14" t="n">
        <x:f>C24-D24</x:f>
        <x:v>-2878072</x:v>
      </x:c>
      <x:c r="F24" s="16" t="n">
        <x:f>IFERROR(C24/D24-1,0)</x:f>
        <x:v>-0.635656055510512</x:v>
      </x:c>
      <x:c r="G24" s="16" t="n">
        <x:f>IFERROR(C24/$C$5,0)</x:f>
        <x:v>0.11061858543137873</x:v>
      </x:c>
      <x:c r="H24" s="16" t="n">
        <x:f>IFERROR(D24/$D$5,0)</x:f>
        <x:v>0.3528093368744249</x:v>
      </x:c>
    </x:row>
    <x:row r="25" ht="20" customHeight="1">
      <x:c r="A25" t="str">
        <x:v>3.11</x:v>
      </x:c>
      <x:c r="B25" t="str">
        <x:v>Lucro/Prejuízo do Período</x:v>
      </x:c>
      <x:c r="C25" s="14" t="n">
        <x:v>1649647</x:v>
      </x:c>
      <x:c r="D25" s="14" t="n">
        <x:v>4527719</x:v>
      </x:c>
      <x:c r="E25" s="14" t="n">
        <x:f>C25-D25</x:f>
        <x:v>-2878072</x:v>
      </x:c>
      <x:c r="F25" s="16" t="n">
        <x:f>IFERROR(C25/D25-1,0)</x:f>
        <x:v>-0.635656055510512</x:v>
      </x:c>
      <x:c r="G25" s="16" t="n">
        <x:f>IFERROR(C25/$C$5,0)</x:f>
        <x:v>0.11061858543137873</x:v>
      </x:c>
      <x:c r="H25" s="16" t="n">
        <x:f>IFERROR(D25/$D$5,0)</x:f>
        <x:v>0.3528093368744249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7" hidden="0" customWidth="1"/>
    <x:col min="3" max="3" width="20" hidden="0" customWidth="1"/>
    <x:col min="4" max="4" width="20" hidden="0" customWidth="1"/>
    <x:col min="5" max="5" width="21" hidden="0" customWidth="1"/>
    <x:col min="6" max="6" width="16" hidden="0" customWidth="1"/>
    <x:col min="7" max="7" width="18" hidden="0" customWidth="1"/>
    <x:col min="8" max="8" width="18" hidden="0" customWidth="1"/>
  </x:cols>
  <x:sheetData>
    <x:row r="1" ht="32" customHeight="1">
      <x:c r="A1" s="3" t="str">
        <x:v>BP CONSOLIDADO - ATIVO</x:v>
      </x:c>
      <x:c r="B1" s="3"/>
      <x:c r="C1" s="3"/>
      <x:c r="D1" s="3"/>
      <x:c r="E1" s="3"/>
      <x:c r="F1" s="3"/>
      <x:c r="G1" s="3"/>
      <x:c r="H1" s="3"/>
    </x:row>
    <x:row r="2" ht="25" customHeight="1">
      <x:c r="A2" s="7" t="str">
        <x:v>DFP 2025.pdf, CSN Mineração S.A., versão 2, 31/12/2025 | página PDF 12 | R$ mil</x:v>
      </x:c>
      <x:c r="B2" s="7"/>
      <x:c r="C2" s="7"/>
      <x:c r="D2" s="7"/>
      <x:c r="E2" s="7"/>
      <x:c r="F2" s="7"/>
      <x:c r="G2" s="7"/>
      <x:c r="H2" s="7"/>
    </x:row>
    <x:row r="4" ht="26" customHeight="1">
      <x:c r="A4" s="11" t="str">
        <x:v>Código</x:v>
      </x:c>
      <x:c r="B4" s="11" t="str">
        <x:v>Conta</x:v>
      </x:c>
      <x:c r="C4" s="11" t="str">
        <x:v>2025</x:v>
      </x:c>
      <x:c r="D4" s="11" t="str">
        <x:v>2024</x:v>
      </x:c>
      <x:c r="E4" s="11" t="str">
        <x:v>Variação R$ mil</x:v>
      </x:c>
      <x:c r="F4" s="11" t="str">
        <x:v>AH %</x:v>
      </x:c>
      <x:c r="G4" s="11" t="str">
        <x:v>AV 2025 %</x:v>
      </x:c>
      <x:c r="H4" s="11" t="str">
        <x:v>AV 2024 %</x:v>
      </x:c>
    </x:row>
    <x:row r="5" ht="20" customHeight="1">
      <x:c r="A5" t="str">
        <x:v>1</x:v>
      </x:c>
      <x:c r="B5" t="str">
        <x:v>Ativo Total</x:v>
      </x:c>
      <x:c r="C5" s="14" t="n">
        <x:v>33553574</x:v>
      </x:c>
      <x:c r="D5" s="14" t="n">
        <x:v>36390919</x:v>
      </x:c>
      <x:c r="E5" s="14" t="n">
        <x:f>C5-D5</x:f>
        <x:v>-2837345</x:v>
      </x:c>
      <x:c r="F5" s="16" t="n">
        <x:f>IFERROR(C5/D5-1,0)</x:f>
        <x:v>-0.07796848988617189</x:v>
      </x:c>
      <x:c r="G5" s="16" t="n">
        <x:f>IFERROR(C5/$C$5,0)</x:f>
        <x:v>1</x:v>
      </x:c>
      <x:c r="H5" s="16" t="n">
        <x:f>IFERROR(D5/$D$5,0)</x:f>
        <x:v>1</x:v>
      </x:c>
    </x:row>
    <x:row r="6" ht="20" customHeight="1">
      <x:c r="A6" t="str">
        <x:v>1.01</x:v>
      </x:c>
      <x:c r="B6" t="str">
        <x:v>Ativo Circulante</x:v>
      </x:c>
      <x:c r="C6" s="14" t="n">
        <x:v>12084606</x:v>
      </x:c>
      <x:c r="D6" s="14" t="n">
        <x:v>17832106</x:v>
      </x:c>
      <x:c r="E6" s="14" t="n">
        <x:f>C6-D6</x:f>
        <x:v>-5747500</x:v>
      </x:c>
      <x:c r="F6" s="16" t="n">
        <x:f>IFERROR(C6/D6-1,0)</x:f>
        <x:v>-0.3223119019144458</x:v>
      </x:c>
      <x:c r="G6" s="16" t="n">
        <x:f>IFERROR(C6/$C$5,0)</x:f>
        <x:v>0.36015853333537584</x:v>
      </x:c>
      <x:c r="H6" s="16" t="n">
        <x:f>IFERROR(D6/$D$5,0)</x:f>
        <x:v>0.4900152700183252</x:v>
      </x:c>
    </x:row>
    <x:row r="7" ht="20" customHeight="1">
      <x:c r="A7" t="str">
        <x:v>1.01.01</x:v>
      </x:c>
      <x:c r="B7" t="str">
        <x:v>Caixa e Equivalentes de Caixa</x:v>
      </x:c>
      <x:c r="C7" s="14" t="n">
        <x:v>8871892</x:v>
      </x:c>
      <x:c r="D7" s="14" t="n">
        <x:v>15185928</x:v>
      </x:c>
      <x:c r="E7" s="14" t="n">
        <x:f>C7-D7</x:f>
        <x:v>-6314036</x:v>
      </x:c>
      <x:c r="F7" s="16" t="n">
        <x:f>IFERROR(C7/D7-1,0)</x:f>
        <x:v>-0.4157820318916302</x:v>
      </x:c>
      <x:c r="G7" s="16" t="n">
        <x:f>IFERROR(C7/$C$5,0)</x:f>
        <x:v>0.2644097466338459</x:v>
      </x:c>
      <x:c r="H7" s="16" t="n">
        <x:f>IFERROR(D7/$D$5,0)</x:f>
        <x:v>0.4172999313372658</x:v>
      </x:c>
    </x:row>
    <x:row r="8" ht="20" customHeight="1">
      <x:c r="A8" t="str">
        <x:v>1.01.02</x:v>
      </x:c>
      <x:c r="B8" t="str">
        <x:v>Aplicações Financeiras</x:v>
      </x:c>
      <x:c r="C8" s="14" t="n">
        <x:v>18074</x:v>
      </x:c>
      <x:c r="D8" s="14" t="n">
        <x:v>13891</x:v>
      </x:c>
      <x:c r="E8" s="14" t="n">
        <x:f>C8-D8</x:f>
        <x:v>4183</x:v>
      </x:c>
      <x:c r="F8" s="16" t="n">
        <x:f>IFERROR(C8/D8-1,0)</x:f>
        <x:v>0.30113022820531277</x:v>
      </x:c>
      <x:c r="G8" s="16" t="n">
        <x:f>IFERROR(C8/$C$5,0)</x:f>
        <x:v>0.000538660948607144</x:v>
      </x:c>
      <x:c r="H8" s="16" t="n">
        <x:f>IFERROR(D8/$D$5,0)</x:f>
        <x:v>0.0003817161089006848</x:v>
      </x:c>
    </x:row>
    <x:row r="9" ht="20" customHeight="1">
      <x:c r="A9" t="str">
        <x:v>1.01.02.03</x:v>
      </x:c>
      <x:c r="B9" t="str">
        <x:v>Aplicações Financeiras Avaliadas ao Custo Amortizado</x:v>
      </x:c>
      <x:c r="C9" s="14" t="n">
        <x:v>18074</x:v>
      </x:c>
      <x:c r="D9" s="14" t="n">
        <x:v>13891</x:v>
      </x:c>
      <x:c r="E9" s="14" t="n">
        <x:f>C9-D9</x:f>
        <x:v>4183</x:v>
      </x:c>
      <x:c r="F9" s="16" t="n">
        <x:f>IFERROR(C9/D9-1,0)</x:f>
        <x:v>0.30113022820531277</x:v>
      </x:c>
      <x:c r="G9" s="16" t="n">
        <x:f>IFERROR(C9/$C$5,0)</x:f>
        <x:v>0.000538660948607144</x:v>
      </x:c>
      <x:c r="H9" s="16" t="n">
        <x:f>IFERROR(D9/$D$5,0)</x:f>
        <x:v>0.0003817161089006848</x:v>
      </x:c>
    </x:row>
    <x:row r="10" ht="20" customHeight="1">
      <x:c r="A10" t="str">
        <x:v>1.01.03</x:v>
      </x:c>
      <x:c r="B10" t="str">
        <x:v>Contas a Receber</x:v>
      </x:c>
      <x:c r="C10" s="14" t="n">
        <x:v>1914795</x:v>
      </x:c>
      <x:c r="D10" s="14" t="n">
        <x:v>1506580</x:v>
      </x:c>
      <x:c r="E10" s="14" t="n">
        <x:f>C10-D10</x:f>
        <x:v>408215</x:v>
      </x:c>
      <x:c r="F10" s="16" t="n">
        <x:f>IFERROR(C10/D10-1,0)</x:f>
        <x:v>0.2709547451844576</x:v>
      </x:c>
      <x:c r="G10" s="16" t="n">
        <x:f>IFERROR(C10/$C$5,0)</x:f>
        <x:v>0.05706679711675424</x:v>
      </x:c>
      <x:c r="H10" s="16" t="n">
        <x:f>IFERROR(D10/$D$5,0)</x:f>
        <x:v>0.04139988880192885</x:v>
      </x:c>
    </x:row>
    <x:row r="11" ht="20" customHeight="1">
      <x:c r="A11" t="str">
        <x:v>1.01.04</x:v>
      </x:c>
      <x:c r="B11" t="str">
        <x:v>Estoques</x:v>
      </x:c>
      <x:c r="C11" s="14" t="n">
        <x:v>825422</x:v>
      </x:c>
      <x:c r="D11" s="14" t="n">
        <x:v>777848</x:v>
      </x:c>
      <x:c r="E11" s="14" t="n">
        <x:f>C11-D11</x:f>
        <x:v>47574</x:v>
      </x:c>
      <x:c r="F11" s="16" t="n">
        <x:f>IFERROR(C11/D11-1,0)</x:f>
        <x:v>0.06116104945953449</x:v>
      </x:c>
      <x:c r="G11" s="16" t="n">
        <x:f>IFERROR(C11/$C$5,0)</x:f>
        <x:v>0.02460012158466338</x:v>
      </x:c>
      <x:c r="H11" s="16" t="n">
        <x:f>IFERROR(D11/$D$5,0)</x:f>
        <x:v>0.021374783088055568</x:v>
      </x:c>
    </x:row>
    <x:row r="12" ht="20" customHeight="1">
      <x:c r="A12" t="str">
        <x:v>1.01.06</x:v>
      </x:c>
      <x:c r="B12" t="str">
        <x:v>Tributos a Recuperar</x:v>
      </x:c>
      <x:c r="C12" s="14" t="n">
        <x:v>104913</x:v>
      </x:c>
      <x:c r="D12" s="14" t="n">
        <x:v>70613</x:v>
      </x:c>
      <x:c r="E12" s="14" t="n">
        <x:f>C12-D12</x:f>
        <x:v>34300</x:v>
      </x:c>
      <x:c r="F12" s="16" t="n">
        <x:f>IFERROR(C12/D12-1,0)</x:f>
        <x:v>0.4857462506903827</x:v>
      </x:c>
      <x:c r="G12" s="16" t="n">
        <x:f>IFERROR(C12/$C$5,0)</x:f>
        <x:v>0.00312673100039954</x:v>
      </x:c>
      <x:c r="H12" s="16" t="n">
        <x:f>IFERROR(D12/$D$5,0)</x:f>
        <x:v>0.001940401669988054</x:v>
      </x:c>
    </x:row>
    <x:row r="13" ht="20" customHeight="1">
      <x:c r="A13" t="str">
        <x:v>1.01.06.01</x:v>
      </x:c>
      <x:c r="B13" t="str">
        <x:v>Tributos Correntes a Recuperar</x:v>
      </x:c>
      <x:c r="C13" s="14" t="n">
        <x:v>104913</x:v>
      </x:c>
      <x:c r="D13" s="14" t="n">
        <x:v>70613</x:v>
      </x:c>
      <x:c r="E13" s="14" t="n">
        <x:f>C13-D13</x:f>
        <x:v>34300</x:v>
      </x:c>
      <x:c r="F13" s="16" t="n">
        <x:f>IFERROR(C13/D13-1,0)</x:f>
        <x:v>0.4857462506903827</x:v>
      </x:c>
      <x:c r="G13" s="16" t="n">
        <x:f>IFERROR(C13/$C$5,0)</x:f>
        <x:v>0.00312673100039954</x:v>
      </x:c>
      <x:c r="H13" s="16" t="n">
        <x:f>IFERROR(D13/$D$5,0)</x:f>
        <x:v>0.001940401669988054</x:v>
      </x:c>
    </x:row>
    <x:row r="14" ht="20" customHeight="1">
      <x:c r="A14" t="str">
        <x:v>1.01.08</x:v>
      </x:c>
      <x:c r="B14" t="str">
        <x:v>Outros Ativos Circulantes</x:v>
      </x:c>
      <x:c r="C14" s="14" t="n">
        <x:v>349510</x:v>
      </x:c>
      <x:c r="D14" s="14" t="n">
        <x:v>277246</x:v>
      </x:c>
      <x:c r="E14" s="14" t="n">
        <x:f>C14-D14</x:f>
        <x:v>72264</x:v>
      </x:c>
      <x:c r="F14" s="16" t="n">
        <x:f>IFERROR(C14/D14-1,0)</x:f>
        <x:v>0.2606493871868305</x:v>
      </x:c>
      <x:c r="G14" s="16" t="n">
        <x:f>IFERROR(C14/$C$5,0)</x:f>
        <x:v>0.010416476051105614</x:v>
      </x:c>
      <x:c r="H14" s="16" t="n">
        <x:f>IFERROR(D14/$D$5,0)</x:f>
        <x:v>0.007618549012186254</x:v>
      </x:c>
    </x:row>
    <x:row r="15" ht="20" customHeight="1">
      <x:c r="A15" t="str">
        <x:v>1.01.08.03</x:v>
      </x:c>
      <x:c r="B15" t="str">
        <x:v>Outros</x:v>
      </x:c>
      <x:c r="C15" s="14" t="n">
        <x:v>349510</x:v>
      </x:c>
      <x:c r="D15" s="14" t="n">
        <x:v>277246</x:v>
      </x:c>
      <x:c r="E15" s="14" t="n">
        <x:f>C15-D15</x:f>
        <x:v>72264</x:v>
      </x:c>
      <x:c r="F15" s="16" t="n">
        <x:f>IFERROR(C15/D15-1,0)</x:f>
        <x:v>0.2606493871868305</x:v>
      </x:c>
      <x:c r="G15" s="16" t="n">
        <x:f>IFERROR(C15/$C$5,0)</x:f>
        <x:v>0.010416476051105614</x:v>
      </x:c>
      <x:c r="H15" s="16" t="n">
        <x:f>IFERROR(D15/$D$5,0)</x:f>
        <x:v>0.007618549012186254</x:v>
      </x:c>
    </x:row>
    <x:row r="16" ht="20" customHeight="1">
      <x:c r="A16" t="str">
        <x:v>1.01.08.03.03</x:v>
      </x:c>
      <x:c r="B16" t="str">
        <x:v>Outros ativos</x:v>
      </x:c>
      <x:c r="C16" s="14" t="n">
        <x:v>341889</x:v>
      </x:c>
      <x:c r="D16" s="14" t="n">
        <x:v>277246</x:v>
      </x:c>
      <x:c r="E16" s="14" t="n">
        <x:f>C16-D16</x:f>
        <x:v>64643</x:v>
      </x:c>
      <x:c r="F16" s="16" t="n">
        <x:f>IFERROR(C16/D16-1,0)</x:f>
        <x:v>0.23316116373184825</x:v>
      </x:c>
      <x:c r="G16" s="16" t="n">
        <x:f>IFERROR(C16/$C$5,0)</x:f>
        <x:v>0.010189346744403442</x:v>
      </x:c>
      <x:c r="H16" s="16" t="n">
        <x:f>IFERROR(D16/$D$5,0)</x:f>
        <x:v>0.007618549012186254</x:v>
      </x:c>
    </x:row>
    <x:row r="17" ht="20" customHeight="1">
      <x:c r="A17" t="str">
        <x:v>1.01.08.03.04</x:v>
      </x:c>
      <x:c r="B17" t="str">
        <x:v>Despesas Antecipadas</x:v>
      </x:c>
      <x:c r="C17" s="14" t="n">
        <x:v>7621</x:v>
      </x:c>
      <x:c r="D17" s="14" t="n">
        <x:v>0</x:v>
      </x:c>
      <x:c r="E17" s="14" t="n">
        <x:f>C17-D17</x:f>
        <x:v>7621</x:v>
      </x:c>
      <x:c r="F17" s="16" t="n">
        <x:f>IFERROR(C17/D17-1,0)</x:f>
        <x:v>0</x:v>
      </x:c>
      <x:c r="G17" s="16" t="n">
        <x:f>IFERROR(C17/$C$5,0)</x:f>
        <x:v>0.00022712930670217127</x:v>
      </x:c>
      <x:c r="H17" s="16" t="n">
        <x:f>IFERROR(D17/$D$5,0)</x:f>
        <x:v>0</x:v>
      </x:c>
    </x:row>
    <x:row r="18" ht="20" customHeight="1">
      <x:c r="A18" t="str">
        <x:v>1.02</x:v>
      </x:c>
      <x:c r="B18" t="str">
        <x:v>Ativo Não Circulante</x:v>
      </x:c>
      <x:c r="C18" s="14" t="n">
        <x:v>21468968</x:v>
      </x:c>
      <x:c r="D18" s="14" t="n">
        <x:v>18558813</x:v>
      </x:c>
      <x:c r="E18" s="14" t="n">
        <x:f>C18-D18</x:f>
        <x:v>2910155</x:v>
      </x:c>
      <x:c r="F18" s="16" t="n">
        <x:f>IFERROR(C18/D18-1,0)</x:f>
        <x:v>0.1568071729587448</x:v>
      </x:c>
      <x:c r="G18" s="16" t="n">
        <x:f>IFERROR(C18/$C$5,0)</x:f>
        <x:v>0.6398414666646242</x:v>
      </x:c>
      <x:c r="H18" s="16" t="n">
        <x:f>IFERROR(D18/$D$5,0)</x:f>
        <x:v>0.5099847299816749</x:v>
      </x:c>
    </x:row>
    <x:row r="19" ht="20" customHeight="1">
      <x:c r="A19" t="str">
        <x:v>1.02.01</x:v>
      </x:c>
      <x:c r="B19" t="str">
        <x:v>Ativo Realizável a Longo Prazo</x:v>
      </x:c>
      <x:c r="C19" s="14" t="n">
        <x:v>3082288</x:v>
      </x:c>
      <x:c r="D19" s="14" t="n">
        <x:v>2723075</x:v>
      </x:c>
      <x:c r="E19" s="14" t="n">
        <x:f>C19-D19</x:f>
        <x:v>359213</x:v>
      </x:c>
      <x:c r="F19" s="16" t="n">
        <x:f>IFERROR(C19/D19-1,0)</x:f>
        <x:v>0.131914471691011</x:v>
      </x:c>
      <x:c r="G19" s="16" t="n">
        <x:f>IFERROR(C19/$C$5,0)</x:f>
        <x:v>0.09186168960719356</x:v>
      </x:c>
      <x:c r="H19" s="16" t="n">
        <x:f>IFERROR(D19/$D$5,0)</x:f>
        <x:v>0.07482842079366009</x:v>
      </x:c>
    </x:row>
    <x:row r="20" ht="20" customHeight="1">
      <x:c r="A20" t="str">
        <x:v>1.02.01.05</x:v>
      </x:c>
      <x:c r="B20" t="str">
        <x:v>Estoques</x:v>
      </x:c>
      <x:c r="C20" s="14" t="n">
        <x:v>2073526</x:v>
      </x:c>
      <x:c r="D20" s="14" t="n">
        <x:v>1761172</x:v>
      </x:c>
      <x:c r="E20" s="14" t="n">
        <x:f>C20-D20</x:f>
        <x:v>312354</x:v>
      </x:c>
      <x:c r="F20" s="16" t="n">
        <x:f>IFERROR(C20/D20-1,0)</x:f>
        <x:v>0.1773557608229066</x:v>
      </x:c>
      <x:c r="G20" s="16" t="n">
        <x:f>IFERROR(C20/$C$5,0)</x:f>
        <x:v>0.061797470516851645</x:v>
      </x:c>
      <x:c r="H20" s="16" t="n">
        <x:f>IFERROR(D20/$D$5,0)</x:f>
        <x:v>0.04839591987220768</x:v>
      </x:c>
    </x:row>
    <x:row r="21" ht="20" customHeight="1">
      <x:c r="A21" t="str">
        <x:v>1.02.01.05.01</x:v>
      </x:c>
      <x:c r="B21" t="str">
        <x:v>Estoques</x:v>
      </x:c>
      <x:c r="C21" s="14" t="n">
        <x:v>2073526</x:v>
      </x:c>
      <x:c r="D21" s="14" t="n">
        <x:v>1761172</x:v>
      </x:c>
      <x:c r="E21" s="14" t="n">
        <x:f>C21-D21</x:f>
        <x:v>312354</x:v>
      </x:c>
      <x:c r="F21" s="16" t="n">
        <x:f>IFERROR(C21/D21-1,0)</x:f>
        <x:v>0.1773557608229066</x:v>
      </x:c>
      <x:c r="G21" s="16" t="n">
        <x:f>IFERROR(C21/$C$5,0)</x:f>
        <x:v>0.061797470516851645</x:v>
      </x:c>
      <x:c r="H21" s="16" t="n">
        <x:f>IFERROR(D21/$D$5,0)</x:f>
        <x:v>0.04839591987220768</x:v>
      </x:c>
    </x:row>
    <x:row r="22" ht="20" customHeight="1">
      <x:c r="A22" t="str">
        <x:v>1.02.01.07</x:v>
      </x:c>
      <x:c r="B22" t="str">
        <x:v>Tributos Diferidos</x:v>
      </x:c>
      <x:c r="C22" s="14" t="n">
        <x:v>5598</x:v>
      </x:c>
      <x:c r="D22" s="14" t="n">
        <x:v>143709</x:v>
      </x:c>
      <x:c r="E22" s="14" t="n">
        <x:f>C22-D22</x:f>
        <x:v>-138111</x:v>
      </x:c>
      <x:c r="F22" s="16" t="n">
        <x:f>IFERROR(C22/D22-1,0)</x:f>
        <x:v>-0.9610462810262406</x:v>
      </x:c>
      <x:c r="G22" s="16" t="n">
        <x:f>IFERROR(C22/$C$5,0)</x:f>
        <x:v>0.00016683766683096114</x:v>
      </x:c>
      <x:c r="H22" s="16" t="n">
        <x:f>IFERROR(D22/$D$5,0)</x:f>
        <x:v>0.003949034647902132</x:v>
      </x:c>
    </x:row>
    <x:row r="23" ht="20" customHeight="1">
      <x:c r="A23" t="str">
        <x:v>1.02.01.10</x:v>
      </x:c>
      <x:c r="B23" t="str">
        <x:v>Outros Ativos Não Circulantes</x:v>
      </x:c>
      <x:c r="C23" s="14" t="n">
        <x:v>1003164</x:v>
      </x:c>
      <x:c r="D23" s="14" t="n">
        <x:v>818194</x:v>
      </x:c>
      <x:c r="E23" s="14" t="n">
        <x:f>C23-D23</x:f>
        <x:v>184970</x:v>
      </x:c>
      <x:c r="F23" s="16" t="n">
        <x:f>IFERROR(C23/D23-1,0)</x:f>
        <x:v>0.2260710784972757</x:v>
      </x:c>
      <x:c r="G23" s="16" t="n">
        <x:f>IFERROR(C23/$C$5,0)</x:f>
        <x:v>0.02989738142351095</x:v>
      </x:c>
      <x:c r="H23" s="16" t="n">
        <x:f>IFERROR(D23/$D$5,0)</x:f>
        <x:v>0.022483466273550277</x:v>
      </x:c>
    </x:row>
    <x:row r="24" ht="20" customHeight="1">
      <x:c r="A24" t="str">
        <x:v>1.02.01.10.03</x:v>
      </x:c>
      <x:c r="B24" t="str">
        <x:v>Depositos judiciais</x:v>
      </x:c>
      <x:c r="C24" s="14" t="n">
        <x:v>126480</x:v>
      </x:c>
      <x:c r="D24" s="14" t="n">
        <x:v>106699</x:v>
      </x:c>
      <x:c r="E24" s="14" t="n">
        <x:f>C24-D24</x:f>
        <x:v>19781</x:v>
      </x:c>
      <x:c r="F24" s="16" t="n">
        <x:f>IFERROR(C24/D24-1,0)</x:f>
        <x:v>0.18539067845059476</x:v>
      </x:c>
      <x:c r="G24" s="16" t="n">
        <x:f>IFERROR(C24/$C$5,0)</x:f>
        <x:v>0.003769494123040365</x:v>
      </x:c>
      <x:c r="H24" s="16" t="n">
        <x:f>IFERROR(D24/$D$5,0)</x:f>
        <x:v>0.0029320226840108105</x:v>
      </x:c>
    </x:row>
    <x:row r="25" ht="20" customHeight="1">
      <x:c r="A25" t="str">
        <x:v>1.02.01.10.04</x:v>
      </x:c>
      <x:c r="B25" t="str">
        <x:v>Impostos a recuperar</x:v>
      </x:c>
      <x:c r="C25" s="14" t="n">
        <x:v>551143</x:v>
      </x:c>
      <x:c r="D25" s="14" t="n">
        <x:v>281507</x:v>
      </x:c>
      <x:c r="E25" s="14" t="n">
        <x:f>C25-D25</x:f>
        <x:v>269636</x:v>
      </x:c>
      <x:c r="F25" s="16" t="n">
        <x:f>IFERROR(C25/D25-1,0)</x:f>
        <x:v>0.9578305335213688</x:v>
      </x:c>
      <x:c r="G25" s="16" t="n">
        <x:f>IFERROR(C25/$C$5,0)</x:f>
        <x:v>0.016425761380888963</x:v>
      </x:c>
      <x:c r="H25" s="16" t="n">
        <x:f>IFERROR(D25/$D$5,0)</x:f>
        <x:v>0.007735638663041183</x:v>
      </x:c>
    </x:row>
    <x:row r="26" ht="20" customHeight="1">
      <x:c r="A26" t="str">
        <x:v>1.02.01.10.05</x:v>
      </x:c>
      <x:c r="B26" t="str">
        <x:v>Outros ativos</x:v>
      </x:c>
      <x:c r="C26" s="14" t="n">
        <x:v>325541</x:v>
      </x:c>
      <x:c r="D26" s="14" t="n">
        <x:v>429988</x:v>
      </x:c>
      <x:c r="E26" s="14" t="n">
        <x:f>C26-D26</x:f>
        <x:v>-104447</x:v>
      </x:c>
      <x:c r="F26" s="16" t="n">
        <x:f>IFERROR(C26/D26-1,0)</x:f>
        <x:v>-0.24290677879382683</x:v>
      </x:c>
      <x:c r="G26" s="16" t="n">
        <x:f>IFERROR(C26/$C$5,0)</x:f>
        <x:v>0.009702125919581622</x:v>
      </x:c>
      <x:c r="H26" s="16" t="n">
        <x:f>IFERROR(D26/$D$5,0)</x:f>
        <x:v>0.011815804926498284</x:v>
      </x:c>
    </x:row>
    <x:row r="27" ht="20" customHeight="1">
      <x:c r="A27" t="str">
        <x:v>1.02.02</x:v>
      </x:c>
      <x:c r="B27" t="str">
        <x:v>Investimentos</x:v>
      </x:c>
      <x:c r="C27" s="14" t="n">
        <x:v>3061007</x:v>
      </x:c>
      <x:c r="D27" s="14" t="n">
        <x:v>1774066</x:v>
      </x:c>
      <x:c r="E27" s="14" t="n">
        <x:f>C27-D27</x:f>
        <x:v>1286941</x:v>
      </x:c>
      <x:c r="F27" s="16" t="n">
        <x:f>IFERROR(C27/D27-1,0)</x:f>
        <x:v>0.7254188964784851</x:v>
      </x:c>
      <x:c r="G27" s="16" t="n">
        <x:f>IFERROR(C27/$C$5,0)</x:f>
        <x:v>0.09122745016670951</x:v>
      </x:c>
      <x:c r="H27" s="16" t="n">
        <x:f>IFERROR(D27/$D$5,0)</x:f>
        <x:v>0.04875023903628265</x:v>
      </x:c>
    </x:row>
    <x:row r="28" ht="20" customHeight="1">
      <x:c r="A28" t="str">
        <x:v>1.02.02.01</x:v>
      </x:c>
      <x:c r="B28" t="str">
        <x:v>Participações Societárias</x:v>
      </x:c>
      <x:c r="C28" s="14" t="n">
        <x:v>3061007</x:v>
      </x:c>
      <x:c r="D28" s="14" t="n">
        <x:v>1774066</x:v>
      </x:c>
      <x:c r="E28" s="14" t="n">
        <x:f>C28-D28</x:f>
        <x:v>1286941</x:v>
      </x:c>
      <x:c r="F28" s="16" t="n">
        <x:f>IFERROR(C28/D28-1,0)</x:f>
        <x:v>0.7254188964784851</x:v>
      </x:c>
      <x:c r="G28" s="16" t="n">
        <x:f>IFERROR(C28/$C$5,0)</x:f>
        <x:v>0.09122745016670951</x:v>
      </x:c>
      <x:c r="H28" s="16" t="n">
        <x:f>IFERROR(D28/$D$5,0)</x:f>
        <x:v>0.04875023903628265</x:v>
      </x:c>
    </x:row>
    <x:row r="29" ht="20" customHeight="1">
      <x:c r="A29" t="str">
        <x:v>1.02.03</x:v>
      </x:c>
      <x:c r="B29" t="str">
        <x:v>Imobilizado</x:v>
      </x:c>
      <x:c r="C29" s="14" t="n">
        <x:v>10994169</x:v>
      </x:c>
      <x:c r="D29" s="14" t="n">
        <x:v>9704951</x:v>
      </x:c>
      <x:c r="E29" s="14" t="n">
        <x:f>C29-D29</x:f>
        <x:v>1289218</x:v>
      </x:c>
      <x:c r="F29" s="16" t="n">
        <x:f>IFERROR(C29/D29-1,0)</x:f>
        <x:v>0.13284126833819143</x:v>
      </x:c>
      <x:c r="G29" s="16" t="n">
        <x:f>IFERROR(C29/$C$5,0)</x:f>
        <x:v>0.327660147321415</x:v>
      </x:c>
      <x:c r="H29" s="16" t="n">
        <x:f>IFERROR(D29/$D$5,0)</x:f>
        <x:v>0.2666860652790879</x:v>
      </x:c>
    </x:row>
    <x:row r="30" ht="20" customHeight="1">
      <x:c r="A30" t="str">
        <x:v>1.02.03.01</x:v>
      </x:c>
      <x:c r="B30" t="str">
        <x:v>Imobilizado em Operação</x:v>
      </x:c>
      <x:c r="C30" s="14" t="n">
        <x:v>6898524</x:v>
      </x:c>
      <x:c r="D30" s="14" t="n">
        <x:v>7103708</x:v>
      </x:c>
      <x:c r="E30" s="14" t="n">
        <x:f>C30-D30</x:f>
        <x:v>-205184</x:v>
      </x:c>
      <x:c r="F30" s="16" t="n">
        <x:f>IFERROR(C30/D30-1,0)</x:f>
        <x:v>-0.028884070122251693</x:v>
      </x:c>
      <x:c r="G30" s="16" t="n">
        <x:f>IFERROR(C30/$C$5,0)</x:f>
        <x:v>0.20559729345076622</x:v>
      </x:c>
      <x:c r="H30" s="16" t="n">
        <x:f>IFERROR(D30/$D$5,0)</x:f>
        <x:v>0.1952055126719938</x:v>
      </x:c>
    </x:row>
    <x:row r="31" ht="20" customHeight="1">
      <x:c r="A31" t="str">
        <x:v>1.02.03.02</x:v>
      </x:c>
      <x:c r="B31" t="str">
        <x:v>Direito de Uso em Arrendamento</x:v>
      </x:c>
      <x:c r="C31" s="14" t="n">
        <x:v>119109</x:v>
      </x:c>
      <x:c r="D31" s="14" t="n">
        <x:v>110238</x:v>
      </x:c>
      <x:c r="E31" s="14" t="n">
        <x:f>C31-D31</x:f>
        <x:v>8871</x:v>
      </x:c>
      <x:c r="F31" s="16" t="n">
        <x:f>IFERROR(C31/D31-1,0)</x:f>
        <x:v>0.08047134381973553</x:v>
      </x:c>
      <x:c r="G31" s="16" t="n">
        <x:f>IFERROR(C31/$C$5,0)</x:f>
        <x:v>0.0035498155874542606</x:v>
      </x:c>
      <x:c r="H31" s="16" t="n">
        <x:f>IFERROR(D31/$D$5,0)</x:f>
        <x:v>0.003029272220358051</x:v>
      </x:c>
    </x:row>
    <x:row r="32" ht="20" customHeight="1">
      <x:c r="A32" t="str">
        <x:v>1.02.03.03</x:v>
      </x:c>
      <x:c r="B32" t="str">
        <x:v>Imobilizado em Andamento</x:v>
      </x:c>
      <x:c r="C32" s="14" t="n">
        <x:v>3976536</x:v>
      </x:c>
      <x:c r="D32" s="14" t="n">
        <x:v>2491005</x:v>
      </x:c>
      <x:c r="E32" s="14" t="n">
        <x:f>C32-D32</x:f>
        <x:v>1485531</x:v>
      </x:c>
      <x:c r="F32" s="16" t="n">
        <x:f>IFERROR(C32/D32-1,0)</x:f>
        <x:v>0.5963580964309585</x:v>
      </x:c>
      <x:c r="G32" s="16" t="n">
        <x:f>IFERROR(C32/$C$5,0)</x:f>
        <x:v>0.11851303828319451</x:v>
      </x:c>
      <x:c r="H32" s="16" t="n">
        <x:f>IFERROR(D32/$D$5,0)</x:f>
        <x:v>0.06845128038673605</x:v>
      </x:c>
    </x:row>
    <x:row r="33" ht="20" customHeight="1">
      <x:c r="A33" t="str">
        <x:v>1.02.04</x:v>
      </x:c>
      <x:c r="B33" t="str">
        <x:v>Intangível</x:v>
      </x:c>
      <x:c r="C33" s="14" t="n">
        <x:v>4331504</x:v>
      </x:c>
      <x:c r="D33" s="14" t="n">
        <x:v>4356721</x:v>
      </x:c>
      <x:c r="E33" s="14" t="n">
        <x:f>C33-D33</x:f>
        <x:v>-25217</x:v>
      </x:c>
      <x:c r="F33" s="16" t="n">
        <x:f>IFERROR(C33/D33-1,0)</x:f>
        <x:v>-0.005788068595624973</x:v>
      </x:c>
      <x:c r="G33" s="16" t="n">
        <x:f>IFERROR(C33/$C$5,0)</x:f>
        <x:v>0.12909217956930608</x:v>
      </x:c>
      <x:c r="H33" s="16" t="n">
        <x:f>IFERROR(D33/$D$5,0)</x:f>
        <x:v>0.11972000487264418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7" hidden="0" customWidth="1"/>
    <x:col min="3" max="3" width="20" hidden="0" customWidth="1"/>
    <x:col min="4" max="4" width="20" hidden="0" customWidth="1"/>
    <x:col min="5" max="5" width="21" hidden="0" customWidth="1"/>
    <x:col min="6" max="6" width="16" hidden="0" customWidth="1"/>
    <x:col min="7" max="7" width="18" hidden="0" customWidth="1"/>
    <x:col min="8" max="8" width="18" hidden="0" customWidth="1"/>
  </x:cols>
  <x:sheetData>
    <x:row r="1" ht="32" customHeight="1">
      <x:c r="A1" s="3" t="str">
        <x:v>BP CONSOLIDADO - PASSIVO</x:v>
      </x:c>
      <x:c r="B1" s="3"/>
      <x:c r="C1" s="3"/>
      <x:c r="D1" s="3"/>
      <x:c r="E1" s="3"/>
      <x:c r="F1" s="3"/>
      <x:c r="G1" s="3"/>
      <x:c r="H1" s="3"/>
    </x:row>
    <x:row r="2" ht="25" customHeight="1">
      <x:c r="A2" s="7" t="str">
        <x:v>DFP 2025.pdf, CSN Mineração S.A., versão 2, 31/12/2025 | página PDF 13 | R$ mil</x:v>
      </x:c>
      <x:c r="B2" s="7"/>
      <x:c r="C2" s="7"/>
      <x:c r="D2" s="7"/>
      <x:c r="E2" s="7"/>
      <x:c r="F2" s="7"/>
      <x:c r="G2" s="7"/>
      <x:c r="H2" s="7"/>
    </x:row>
    <x:row r="4" ht="26" customHeight="1">
      <x:c r="A4" s="11" t="str">
        <x:v>Código</x:v>
      </x:c>
      <x:c r="B4" s="11" t="str">
        <x:v>Conta</x:v>
      </x:c>
      <x:c r="C4" s="11" t="str">
        <x:v>2025</x:v>
      </x:c>
      <x:c r="D4" s="11" t="str">
        <x:v>2024</x:v>
      </x:c>
      <x:c r="E4" s="11" t="str">
        <x:v>Variação R$ mil</x:v>
      </x:c>
      <x:c r="F4" s="11" t="str">
        <x:v>AH %</x:v>
      </x:c>
      <x:c r="G4" s="11" t="str">
        <x:v>AV 2025 %</x:v>
      </x:c>
      <x:c r="H4" s="11" t="str">
        <x:v>AV 2024 %</x:v>
      </x:c>
    </x:row>
    <x:row r="5" ht="20" customHeight="1">
      <x:c r="A5" t="str">
        <x:v>2</x:v>
      </x:c>
      <x:c r="B5" t="str">
        <x:v>Passivo Total</x:v>
      </x:c>
      <x:c r="C5" s="14" t="n">
        <x:v>33553574</x:v>
      </x:c>
      <x:c r="D5" s="14" t="n">
        <x:v>36390919</x:v>
      </x:c>
      <x:c r="E5" s="14" t="n">
        <x:f>C5-D5</x:f>
        <x:v>-2837345</x:v>
      </x:c>
      <x:c r="F5" s="16" t="n">
        <x:f>IFERROR(C5/D5-1,0)</x:f>
        <x:v>-0.07796848988617189</x:v>
      </x:c>
      <x:c r="G5" s="16" t="n">
        <x:f>IFERROR(C5/$C$5,0)</x:f>
        <x:v>1</x:v>
      </x:c>
      <x:c r="H5" s="16" t="n">
        <x:f>IFERROR(D5/$D$5,0)</x:f>
        <x:v>1</x:v>
      </x:c>
    </x:row>
    <x:row r="6" ht="20" customHeight="1">
      <x:c r="A6" t="str">
        <x:v>2.01</x:v>
      </x:c>
      <x:c r="B6" t="str">
        <x:v>Passivo Circulante</x:v>
      </x:c>
      <x:c r="C6" s="14" t="n">
        <x:v>10039250</x:v>
      </x:c>
      <x:c r="D6" s="14" t="n">
        <x:v>7545988</x:v>
      </x:c>
      <x:c r="E6" s="14" t="n">
        <x:f>C6-D6</x:f>
        <x:v>2493262</x:v>
      </x:c>
      <x:c r="F6" s="16" t="n">
        <x:f>IFERROR(C6/D6-1,0)</x:f>
        <x:v>0.3304089537380659</x:v>
      </x:c>
      <x:c r="G6" s="16" t="n">
        <x:f>IFERROR(C6/$C$5,0)</x:f>
        <x:v>0.2992006157078826</x:v>
      </x:c>
      <x:c r="H6" s="16" t="n">
        <x:f>IFERROR(D6/$D$5,0)</x:f>
        <x:v>0.20735909417401632</x:v>
      </x:c>
    </x:row>
    <x:row r="7" ht="20" customHeight="1">
      <x:c r="A7" t="str">
        <x:v>2.01.01</x:v>
      </x:c>
      <x:c r="B7" t="str">
        <x:v>Obrigações Sociais e Trabalhistas</x:v>
      </x:c>
      <x:c r="C7" s="14" t="n">
        <x:v>107051</x:v>
      </x:c>
      <x:c r="D7" s="14" t="n">
        <x:v>102121</x:v>
      </x:c>
      <x:c r="E7" s="14" t="n">
        <x:f>C7-D7</x:f>
        <x:v>4930</x:v>
      </x:c>
      <x:c r="F7" s="16" t="n">
        <x:f>IFERROR(C7/D7-1,0)</x:f>
        <x:v>0.04827606466838352</x:v>
      </x:c>
      <x:c r="G7" s="16" t="n">
        <x:f>IFERROR(C7/$C$5,0)</x:f>
        <x:v>0.003190449994984141</x:v>
      </x:c>
      <x:c r="H7" s="16" t="n">
        <x:f>IFERROR(D7/$D$5,0)</x:f>
        <x:v>0.0028062220687529215</x:v>
      </x:c>
    </x:row>
    <x:row r="8" ht="20" customHeight="1">
      <x:c r="A8" t="str">
        <x:v>2.01.02</x:v>
      </x:c>
      <x:c r="B8" t="str">
        <x:v>Fornecedores</x:v>
      </x:c>
      <x:c r="C8" s="14" t="n">
        <x:v>2171640</x:v>
      </x:c>
      <x:c r="D8" s="14" t="n">
        <x:v>2067209</x:v>
      </x:c>
      <x:c r="E8" s="14" t="n">
        <x:f>C8-D8</x:f>
        <x:v>104431</x:v>
      </x:c>
      <x:c r="F8" s="16" t="n">
        <x:f>IFERROR(C8/D8-1,0)</x:f>
        <x:v>0.05051787216483672</x:v>
      </x:c>
      <x:c r="G8" s="16" t="n">
        <x:f>IFERROR(C8/$C$5,0)</x:f>
        <x:v>0.06472157034597864</x:v>
      </x:c>
      <x:c r="H8" s="16" t="n">
        <x:f>IFERROR(D8/$D$5,0)</x:f>
        <x:v>0.05680562779961671</x:v>
      </x:c>
    </x:row>
    <x:row r="9" ht="20" customHeight="1">
      <x:c r="A9" t="str">
        <x:v>2.01.03</x:v>
      </x:c>
      <x:c r="B9" t="str">
        <x:v>Obrigações Fiscais</x:v>
      </x:c>
      <x:c r="C9" s="14" t="n">
        <x:v>346416</x:v>
      </x:c>
      <x:c r="D9" s="14" t="n">
        <x:v>219552</x:v>
      </x:c>
      <x:c r="E9" s="14" t="n">
        <x:f>C9-D9</x:f>
        <x:v>126864</x:v>
      </x:c>
      <x:c r="F9" s="16" t="n">
        <x:f>IFERROR(C9/D9-1,0)</x:f>
        <x:v>0.5778312199387845</x:v>
      </x:c>
      <x:c r="G9" s="16" t="n">
        <x:f>IFERROR(C9/$C$5,0)</x:f>
        <x:v>0.010324265307773174</x:v>
      </x:c>
      <x:c r="H9" s="16" t="n">
        <x:f>IFERROR(D9/$D$5,0)</x:f>
        <x:v>0.006033153490847538</x:v>
      </x:c>
    </x:row>
    <x:row r="10" ht="20" customHeight="1">
      <x:c r="A10" t="str">
        <x:v>2.01.04</x:v>
      </x:c>
      <x:c r="B10" t="str">
        <x:v>Empréstimos e Financiamentos</x:v>
      </x:c>
      <x:c r="C10" s="14" t="n">
        <x:v>1650923</x:v>
      </x:c>
      <x:c r="D10" s="14" t="n">
        <x:v>1340018</x:v>
      </x:c>
      <x:c r="E10" s="14" t="n">
        <x:f>C10-D10</x:f>
        <x:v>310905</x:v>
      </x:c>
      <x:c r="F10" s="16" t="n">
        <x:f>IFERROR(C10/D10-1,0)</x:f>
        <x:v>0.2320155400897599</x:v>
      </x:c>
      <x:c r="G10" s="16" t="n">
        <x:f>IFERROR(C10/$C$5,0)</x:f>
        <x:v>0.04920259761299944</x:v>
      </x:c>
      <x:c r="H10" s="16" t="n">
        <x:f>IFERROR(D10/$D$5,0)</x:f>
        <x:v>0.03682286781490734</x:v>
      </x:c>
    </x:row>
    <x:row r="11" ht="20" customHeight="1">
      <x:c r="A11" t="str">
        <x:v>2.01.05</x:v>
      </x:c>
      <x:c r="B11" t="str">
        <x:v>Outras Obrigações</x:v>
      </x:c>
      <x:c r="C11" s="14" t="n">
        <x:v>5757504</x:v>
      </x:c>
      <x:c r="D11" s="14" t="n">
        <x:v>3806136</x:v>
      </x:c>
      <x:c r="E11" s="14" t="n">
        <x:f>C11-D11</x:f>
        <x:v>1951368</x:v>
      </x:c>
      <x:c r="F11" s="16" t="n">
        <x:f>IFERROR(C11/D11-1,0)</x:f>
        <x:v>0.5126900352483463</x:v>
      </x:c>
      <x:c r="G11" s="16" t="n">
        <x:f>IFERROR(C11/$C$5,0)</x:f>
        <x:v>0.17159137801534943</x:v>
      </x:c>
      <x:c r="H11" s="16" t="n">
        <x:f>IFERROR(D11/$D$5,0)</x:f>
        <x:v>0.10459026879755359</x:v>
      </x:c>
    </x:row>
    <x:row r="12" ht="20" customHeight="1">
      <x:c r="A12" t="str">
        <x:v>2.01.05.02</x:v>
      </x:c>
      <x:c r="B12" t="str">
        <x:v>Outros</x:v>
      </x:c>
      <x:c r="C12" s="14" t="n">
        <x:v>5757504</x:v>
      </x:c>
      <x:c r="D12" s="14" t="n">
        <x:v>3806136</x:v>
      </x:c>
      <x:c r="E12" s="14" t="n">
        <x:f>C12-D12</x:f>
        <x:v>1951368</x:v>
      </x:c>
      <x:c r="F12" s="16" t="n">
        <x:f>IFERROR(C12/D12-1,0)</x:f>
        <x:v>0.5126900352483463</x:v>
      </x:c>
      <x:c r="G12" s="16" t="n">
        <x:f>IFERROR(C12/$C$5,0)</x:f>
        <x:v>0.17159137801534943</x:v>
      </x:c>
      <x:c r="H12" s="16" t="n">
        <x:f>IFERROR(D12/$D$5,0)</x:f>
        <x:v>0.10459026879755359</x:v>
      </x:c>
    </x:row>
    <x:row r="13" ht="20" customHeight="1">
      <x:c r="A13" t="str">
        <x:v>2.01.05.02.01</x:v>
      </x:c>
      <x:c r="B13" t="str">
        <x:v>Dividendos e JCP a Pagar</x:v>
      </x:c>
      <x:c r="C13" s="14" t="n">
        <x:v>1163385</x:v>
      </x:c>
      <x:c r="D13" s="14" t="n">
        <x:v>179868</x:v>
      </x:c>
      <x:c r="E13" s="14" t="n">
        <x:f>C13-D13</x:f>
        <x:v>983517</x:v>
      </x:c>
      <x:c r="F13" s="16" t="n">
        <x:f>IFERROR(C13/D13-1,0)</x:f>
        <x:v>5.467993195009674</x:v>
      </x:c>
      <x:c r="G13" s="16" t="n">
        <x:f>IFERROR(C13/$C$5,0)</x:f>
        <x:v>0.034672461419460114</x:v>
      </x:c>
      <x:c r="H13" s="16" t="n">
        <x:f>IFERROR(D13/$D$5,0)</x:f>
        <x:v>0.004942661656882037</x:v>
      </x:c>
    </x:row>
    <x:row r="14" ht="20" customHeight="1">
      <x:c r="A14" t="str">
        <x:v>2.01.05.02.04</x:v>
      </x:c>
      <x:c r="B14" t="str">
        <x:v>Passivos de arredamentos</x:v>
      </x:c>
      <x:c r="C14" s="14" t="n">
        <x:v>16846</x:v>
      </x:c>
      <x:c r="D14" s="14" t="n">
        <x:v>12257</x:v>
      </x:c>
      <x:c r="E14" s="14" t="n">
        <x:f>C14-D14</x:f>
        <x:v>4589</x:v>
      </x:c>
      <x:c r="F14" s="16" t="n">
        <x:f>IFERROR(C14/D14-1,0)</x:f>
        <x:v>0.3743983030105247</x:v>
      </x:c>
      <x:c r="G14" s="16" t="n">
        <x:f>IFERROR(C14/$C$5,0)</x:f>
        <x:v>0.0005020627608850253</x:v>
      </x:c>
      <x:c r="H14" s="16" t="n">
        <x:f>IFERROR(D14/$D$5,0)</x:f>
        <x:v>0.00033681479712012767</x:v>
      </x:c>
    </x:row>
    <x:row r="15" ht="20" customHeight="1">
      <x:c r="A15" t="str">
        <x:v>2.01.05.02.05</x:v>
      </x:c>
      <x:c r="B15" t="str">
        <x:v>Passivo de contrato</x:v>
      </x:c>
      <x:c r="C15" s="14" t="n">
        <x:v>3782726</x:v>
      </x:c>
      <x:c r="D15" s="14" t="n">
        <x:v>3193893</x:v>
      </x:c>
      <x:c r="E15" s="14" t="n">
        <x:f>C15-D15</x:f>
        <x:v>588833</x:v>
      </x:c>
      <x:c r="F15" s="16" t="n">
        <x:f>IFERROR(C15/D15-1,0)</x:f>
        <x:v>0.18436215615238205</x:v>
      </x:c>
      <x:c r="G15" s="16" t="n">
        <x:f>IFERROR(C15/$C$5,0)</x:f>
        <x:v>0.11273690248317511</x:v>
      </x:c>
      <x:c r="H15" s="16" t="n">
        <x:f>IFERROR(D15/$D$5,0)</x:f>
        <x:v>0.08776620892701281</x:v>
      </x:c>
    </x:row>
    <x:row r="16" ht="20" customHeight="1">
      <x:c r="A16" t="str">
        <x:v>2.01.05.02.07</x:v>
      </x:c>
      <x:c r="B16" t="str">
        <x:v>Outras Obrigações</x:v>
      </x:c>
      <x:c r="C16" s="14" t="n">
        <x:v>257314</x:v>
      </x:c>
      <x:c r="D16" s="14" t="n">
        <x:v>232345</x:v>
      </x:c>
      <x:c r="E16" s="14" t="n">
        <x:f>C16-D16</x:f>
        <x:v>24969</x:v>
      </x:c>
      <x:c r="F16" s="16" t="n">
        <x:f>IFERROR(C16/D16-1,0)</x:f>
        <x:v>0.10746519184832892</x:v>
      </x:c>
      <x:c r="G16" s="16" t="n">
        <x:f>IFERROR(C16/$C$5,0)</x:f>
        <x:v>0.007668750875838144</x:v>
      </x:c>
      <x:c r="H16" s="16" t="n">
        <x:f>IFERROR(D16/$D$5,0)</x:f>
        <x:v>0.006384697237242071</x:v>
      </x:c>
    </x:row>
    <x:row r="17" ht="20" customHeight="1">
      <x:c r="A17" t="str">
        <x:v>2.01.05.02.08</x:v>
      </x:c>
      <x:c r="B17" t="str">
        <x:v>Fornecedores - Risco Sacado e Forfaiting</x:v>
      </x:c>
      <x:c r="C17" s="14" t="n">
        <x:v>537233</x:v>
      </x:c>
      <x:c r="D17" s="14" t="n">
        <x:v>187773</x:v>
      </x:c>
      <x:c r="E17" s="14" t="n">
        <x:f>C17-D17</x:f>
        <x:v>349460</x:v>
      </x:c>
      <x:c r="F17" s="16" t="n">
        <x:f>IFERROR(C17/D17-1,0)</x:f>
        <x:v>1.861076938644001</x:v>
      </x:c>
      <x:c r="G17" s="16" t="n">
        <x:f>IFERROR(C17/$C$5,0)</x:f>
        <x:v>0.016011200475991024</x:v>
      </x:c>
      <x:c r="H17" s="16" t="n">
        <x:f>IFERROR(D17/$D$5,0)</x:f>
        <x:v>0.005159886179296544</x:v>
      </x:c>
    </x:row>
    <x:row r="18" ht="20" customHeight="1">
      <x:c r="A18" t="str">
        <x:v>2.01.06</x:v>
      </x:c>
      <x:c r="B18" t="str">
        <x:v>Provisões</x:v>
      </x:c>
      <x:c r="C18" s="14" t="n">
        <x:v>5716</x:v>
      </x:c>
      <x:c r="D18" s="14" t="n">
        <x:v>10952</x:v>
      </x:c>
      <x:c r="E18" s="14" t="n">
        <x:f>C18-D18</x:f>
        <x:v>-5236</x:v>
      </x:c>
      <x:c r="F18" s="16" t="n">
        <x:f>IFERROR(C18/D18-1,0)</x:f>
        <x:v>-0.4780861943024105</x:v>
      </x:c>
      <x:c r="G18" s="16" t="n">
        <x:f>IFERROR(C18/$C$5,0)</x:f>
        <x:v>0.00017035443079774454</x:v>
      </x:c>
      <x:c r="H18" s="16" t="n">
        <x:f>IFERROR(D18/$D$5,0)</x:f>
        <x:v>0.0003009542023382262</x:v>
      </x:c>
    </x:row>
    <x:row r="19" ht="20" customHeight="1">
      <x:c r="A19" t="str">
        <x:v>2.01.06.01</x:v>
      </x:c>
      <x:c r="B19" t="str">
        <x:v>Provisões Fiscais Previdenciárias Trabalhistas e Cíveis</x:v>
      </x:c>
      <x:c r="C19" s="14" t="n">
        <x:v>5716</x:v>
      </x:c>
      <x:c r="D19" s="14" t="n">
        <x:v>10952</x:v>
      </x:c>
      <x:c r="E19" s="14" t="n">
        <x:f>C19-D19</x:f>
        <x:v>-5236</x:v>
      </x:c>
      <x:c r="F19" s="16" t="n">
        <x:f>IFERROR(C19/D19-1,0)</x:f>
        <x:v>-0.4780861943024105</x:v>
      </x:c>
      <x:c r="G19" s="16" t="n">
        <x:f>IFERROR(C19/$C$5,0)</x:f>
        <x:v>0.00017035443079774454</x:v>
      </x:c>
      <x:c r="H19" s="16" t="n">
        <x:f>IFERROR(D19/$D$5,0)</x:f>
        <x:v>0.0003009542023382262</x:v>
      </x:c>
    </x:row>
    <x:row r="20" ht="20" customHeight="1">
      <x:c r="A20" t="str">
        <x:v>2.02</x:v>
      </x:c>
      <x:c r="B20" t="str">
        <x:v>Passivo Não Circulante</x:v>
      </x:c>
      <x:c r="C20" s="14" t="n">
        <x:v>16833516</x:v>
      </x:c>
      <x:c r="D20" s="14" t="n">
        <x:v>18575817</x:v>
      </x:c>
      <x:c r="E20" s="14" t="n">
        <x:f>C20-D20</x:f>
        <x:v>-1742301</x:v>
      </x:c>
      <x:c r="F20" s="16" t="n">
        <x:f>IFERROR(C20/D20-1,0)</x:f>
        <x:v>-0.09379404415967274</x:v>
      </x:c>
      <x:c r="G20" s="16" t="n">
        <x:f>IFERROR(C20/$C$5,0)</x:f>
        <x:v>0.5016906991785733</x:v>
      </x:c>
      <x:c r="H20" s="16" t="n">
        <x:f>IFERROR(D20/$D$5,0)</x:f>
        <x:v>0.5104519894097755</x:v>
      </x:c>
    </x:row>
    <x:row r="21" ht="20" customHeight="1">
      <x:c r="A21" t="str">
        <x:v>2.02.01</x:v>
      </x:c>
      <x:c r="B21" t="str">
        <x:v>Empréstimos e Financiamentos</x:v>
      </x:c>
      <x:c r="C21" s="14" t="n">
        <x:v>7535494</x:v>
      </x:c>
      <x:c r="D21" s="14" t="n">
        <x:v>8788702</x:v>
      </x:c>
      <x:c r="E21" s="14" t="n">
        <x:f>C21-D21</x:f>
        <x:v>-1253208</x:v>
      </x:c>
      <x:c r="F21" s="16" t="n">
        <x:f>IFERROR(C21/D21-1,0)</x:f>
        <x:v>-0.14259307005744426</x:v>
      </x:c>
      <x:c r="G21" s="16" t="n">
        <x:f>IFERROR(C21/$C$5,0)</x:f>
        <x:v>0.22458096416196974</x:v>
      </x:c>
      <x:c r="H21" s="16" t="n">
        <x:f>IFERROR(D21/$D$5,0)</x:f>
        <x:v>0.24150810810795956</x:v>
      </x:c>
    </x:row>
    <x:row r="22" ht="20" customHeight="1">
      <x:c r="A22" t="str">
        <x:v>2.02.02</x:v>
      </x:c>
      <x:c r="B22" t="str">
        <x:v>Outras Obrigações</x:v>
      </x:c>
      <x:c r="C22" s="14" t="n">
        <x:v>9026884</x:v>
      </x:c>
      <x:c r="D22" s="14" t="n">
        <x:v>9688548</x:v>
      </x:c>
      <x:c r="E22" s="14" t="n">
        <x:f>C22-D22</x:f>
        <x:v>-661664</x:v>
      </x:c>
      <x:c r="F22" s="16" t="n">
        <x:f>IFERROR(C22/D22-1,0)</x:f>
        <x:v>-0.06829341197463235</x:v>
      </x:c>
      <x:c r="G22" s="16" t="n">
        <x:f>IFERROR(C22/$C$5,0)</x:f>
        <x:v>0.2690289863011314</x:v>
      </x:c>
      <x:c r="H22" s="16" t="n">
        <x:f>IFERROR(D22/$D$5,0)</x:f>
        <x:v>0.2662353209601549</x:v>
      </x:c>
    </x:row>
    <x:row r="23" ht="20" customHeight="1">
      <x:c r="A23" t="str">
        <x:v>2.02.02.02</x:v>
      </x:c>
      <x:c r="B23" t="str">
        <x:v>Outros</x:v>
      </x:c>
      <x:c r="C23" s="14" t="n">
        <x:v>9026884</x:v>
      </x:c>
      <x:c r="D23" s="14" t="n">
        <x:v>9688548</x:v>
      </x:c>
      <x:c r="E23" s="14" t="n">
        <x:f>C23-D23</x:f>
        <x:v>-661664</x:v>
      </x:c>
      <x:c r="F23" s="16" t="n">
        <x:f>IFERROR(C23/D23-1,0)</x:f>
        <x:v>-0.06829341197463235</x:v>
      </x:c>
      <x:c r="G23" s="16" t="n">
        <x:f>IFERROR(C23/$C$5,0)</x:f>
        <x:v>0.2690289863011314</x:v>
      </x:c>
      <x:c r="H23" s="16" t="n">
        <x:f>IFERROR(D23/$D$5,0)</x:f>
        <x:v>0.2662353209601549</x:v>
      </x:c>
    </x:row>
    <x:row r="24" ht="20" customHeight="1">
      <x:c r="A24" t="str">
        <x:v>2.02.02.02.03</x:v>
      </x:c>
      <x:c r="B24" t="str">
        <x:v>Passivos de arredamentos</x:v>
      </x:c>
      <x:c r="C24" s="14" t="n">
        <x:v>117768</x:v>
      </x:c>
      <x:c r="D24" s="14" t="n">
        <x:v>110071</x:v>
      </x:c>
      <x:c r="E24" s="14" t="n">
        <x:f>C24-D24</x:f>
        <x:v>7697</x:v>
      </x:c>
      <x:c r="F24" s="16" t="n">
        <x:f>IFERROR(C24/D24-1,0)</x:f>
        <x:v>0.06992759219049516</x:v>
      </x:c>
      <x:c r="G24" s="16" t="n">
        <x:f>IFERROR(C24/$C$5,0)</x:f>
        <x:v>0.00350984965118768</x:v>
      </x:c>
      <x:c r="H24" s="16" t="n">
        <x:f>IFERROR(D24/$D$5,0)</x:f>
        <x:v>0.003024683163401287</x:v>
      </x:c>
    </x:row>
    <x:row r="25" ht="20" customHeight="1">
      <x:c r="A25" t="str">
        <x:v>2.02.02.02.04</x:v>
      </x:c>
      <x:c r="B25" t="str">
        <x:v>Adiantamento de clientes</x:v>
      </x:c>
      <x:c r="C25" s="14" t="n">
        <x:v>8128989</x:v>
      </x:c>
      <x:c r="D25" s="14" t="n">
        <x:v>8808268</x:v>
      </x:c>
      <x:c r="E25" s="14" t="n">
        <x:f>C25-D25</x:f>
        <x:v>-679279</x:v>
      </x:c>
      <x:c r="F25" s="16" t="n">
        <x:f>IFERROR(C25/D25-1,0)</x:f>
        <x:v>-0.0771183392694228</x:v>
      </x:c>
      <x:c r="G25" s="16" t="n">
        <x:f>IFERROR(C25/$C$5,0)</x:f>
        <x:v>0.24226894577608932</x:v>
      </x:c>
      <x:c r="H25" s="16" t="n">
        <x:f>IFERROR(D25/$D$5,0)</x:f>
        <x:v>0.24204576971524133</x:v>
      </x:c>
    </x:row>
    <x:row r="26" ht="20" customHeight="1">
      <x:c r="A26" t="str">
        <x:v>2.02.02.02.05</x:v>
      </x:c>
      <x:c r="B26" t="str">
        <x:v>Tributos a recolher</x:v>
      </x:c>
      <x:c r="C26" s="14" t="n">
        <x:v>0</x:v>
      </x:c>
      <x:c r="D26" s="14" t="n">
        <x:v>20482</x:v>
      </x:c>
      <x:c r="E26" s="14" t="n">
        <x:f>C26-D26</x:f>
        <x:v>-20482</x:v>
      </x:c>
      <x:c r="F26" s="16" t="n">
        <x:f>IFERROR(C26/D26-1,0)</x:f>
        <x:v>-1</x:v>
      </x:c>
      <x:c r="G26" s="16" t="n">
        <x:f>IFERROR(C26/$C$5,0)</x:f>
        <x:v>0</x:v>
      </x:c>
      <x:c r="H26" s="16" t="n">
        <x:f>IFERROR(D26/$D$5,0)</x:f>
        <x:v>0.0005628327220865184</x:v>
      </x:c>
    </x:row>
    <x:row r="27" ht="20" customHeight="1">
      <x:c r="A27" t="str">
        <x:v>2.02.02.02.06</x:v>
      </x:c>
      <x:c r="B27" t="str">
        <x:v>Passivos ambientais e desativação</x:v>
      </x:c>
      <x:c r="C27" s="14" t="n">
        <x:v>681783</x:v>
      </x:c>
      <x:c r="D27" s="14" t="n">
        <x:v>605167</x:v>
      </x:c>
      <x:c r="E27" s="14" t="n">
        <x:f>C27-D27</x:f>
        <x:v>76616</x:v>
      </x:c>
      <x:c r="F27" s="16" t="n">
        <x:f>IFERROR(C27/D27-1,0)</x:f>
        <x:v>0.12660306989640868</x:v>
      </x:c>
      <x:c r="G27" s="16" t="n">
        <x:f>IFERROR(C27/$C$5,0)</x:f>
        <x:v>0.020319236335300674</x:v>
      </x:c>
      <x:c r="H27" s="16" t="n">
        <x:f>IFERROR(D27/$D$5,0)</x:f>
        <x:v>0.016629615756612245</x:v>
      </x:c>
    </x:row>
    <x:row r="28" ht="20" customHeight="1">
      <x:c r="A28" t="str">
        <x:v>2.02.02.02.07</x:v>
      </x:c>
      <x:c r="B28" t="str">
        <x:v>Outras Obrigações</x:v>
      </x:c>
      <x:c r="C28" s="14" t="n">
        <x:v>17422</x:v>
      </x:c>
      <x:c r="D28" s="14" t="n">
        <x:v>23508</x:v>
      </x:c>
      <x:c r="E28" s="14" t="n">
        <x:f>C28-D28</x:f>
        <x:v>-6086</x:v>
      </x:c>
      <x:c r="F28" s="16" t="n">
        <x:f>IFERROR(C28/D28-1,0)</x:f>
        <x:v>-0.2588905904372979</x:v>
      </x:c>
      <x:c r="G28" s="16" t="n">
        <x:f>IFERROR(C28/$C$5,0)</x:f>
        <x:v>0.0005192293375364424</x:v>
      </x:c>
      <x:c r="H28" s="16" t="n">
        <x:f>IFERROR(D28/$D$5,0)</x:f>
        <x:v>0.0006459853349677704</x:v>
      </x:c>
    </x:row>
    <x:row r="29" ht="20" customHeight="1">
      <x:c r="A29" t="str">
        <x:v>2.02.02.02.08</x:v>
      </x:c>
      <x:c r="B29" t="str">
        <x:v>Fornecedores</x:v>
      </x:c>
      <x:c r="C29" s="14" t="n">
        <x:v>2503</x:v>
      </x:c>
      <x:c r="D29" s="14" t="n">
        <x:v>42324</x:v>
      </x:c>
      <x:c r="E29" s="14" t="n">
        <x:f>C29-D29</x:f>
        <x:v>-39821</x:v>
      </x:c>
      <x:c r="F29" s="16" t="n">
        <x:f>IFERROR(C29/D29-1,0)</x:f>
        <x:v>-0.9408609772233248</x:v>
      </x:c>
      <x:c r="G29" s="16" t="n">
        <x:f>IFERROR(C29/$C$5,0)</x:f>
        <x:v>0.00007459712041405783</x:v>
      </x:c>
      <x:c r="H29" s="16" t="n">
        <x:f>IFERROR(D29/$D$5,0)</x:f>
        <x:v>0.0011630374050185432</x:v>
      </x:c>
    </x:row>
    <x:row r="30" ht="20" customHeight="1">
      <x:c r="A30" t="str">
        <x:v>2.02.02.02.09</x:v>
      </x:c>
      <x:c r="B30" t="str">
        <x:v>Concessão a pagar</x:v>
      </x:c>
      <x:c r="C30" s="14" t="n">
        <x:v>78419</x:v>
      </x:c>
      <x:c r="D30" s="14" t="n">
        <x:v>78728</x:v>
      </x:c>
      <x:c r="E30" s="14" t="n">
        <x:f>C30-D30</x:f>
        <x:v>-309</x:v>
      </x:c>
      <x:c r="F30" s="16" t="n">
        <x:f>IFERROR(C30/D30-1,0)</x:f>
        <x:v>-0.003924906005487228</x:v>
      </x:c>
      <x:c r="G30" s="16" t="n">
        <x:f>IFERROR(C30/$C$5,0)</x:f>
        <x:v>0.0023371280806032766</x:v>
      </x:c>
      <x:c r="H30" s="16" t="n">
        <x:f>IFERROR(D30/$D$5,0)</x:f>
        <x:v>0.0021633968628272343</x:v>
      </x:c>
    </x:row>
    <x:row r="31" ht="20" customHeight="1">
      <x:c r="A31" t="str">
        <x:v>2.02.03</x:v>
      </x:c>
      <x:c r="B31" t="str">
        <x:v>Tributos Diferidos</x:v>
      </x:c>
      <x:c r="C31" s="14" t="n">
        <x:v>132773</x:v>
      </x:c>
      <x:c r="D31" s="14" t="n">
        <x:v>0</x:v>
      </x:c>
      <x:c r="E31" s="14" t="n">
        <x:f>C31-D31</x:f>
        <x:v>132773</x:v>
      </x:c>
      <x:c r="F31" s="16" t="n">
        <x:f>IFERROR(C31/D31-1,0)</x:f>
        <x:v>0</x:v>
      </x:c>
      <x:c r="G31" s="16" t="n">
        <x:f>IFERROR(C31/$C$5,0)</x:f>
        <x:v>0.003957044933573991</x:v>
      </x:c>
      <x:c r="H31" s="16" t="n">
        <x:f>IFERROR(D31/$D$5,0)</x:f>
        <x:v>0</x:v>
      </x:c>
    </x:row>
    <x:row r="32" ht="20" customHeight="1">
      <x:c r="A32" t="str">
        <x:v>2.02.04</x:v>
      </x:c>
      <x:c r="B32" t="str">
        <x:v>Provisões</x:v>
      </x:c>
      <x:c r="C32" s="14" t="n">
        <x:v>138365</x:v>
      </x:c>
      <x:c r="D32" s="14" t="n">
        <x:v>98567</x:v>
      </x:c>
      <x:c r="E32" s="14" t="n">
        <x:f>C32-D32</x:f>
        <x:v>39798</x:v>
      </x:c>
      <x:c r="F32" s="16" t="n">
        <x:f>IFERROR(C32/D32-1,0)</x:f>
        <x:v>0.40376596629703654</x:v>
      </x:c>
      <x:c r="G32" s="16" t="n">
        <x:f>IFERROR(C32/$C$5,0)</x:f>
        <x:v>0.004123703781898167</x:v>
      </x:c>
      <x:c r="H32" s="16" t="n">
        <x:f>IFERROR(D32/$D$5,0)</x:f>
        <x:v>0.002708560341661061</x:v>
      </x:c>
    </x:row>
    <x:row r="33" ht="20" customHeight="1">
      <x:c r="A33" t="str">
        <x:v>2.02.04.01</x:v>
      </x:c>
      <x:c r="B33" t="str">
        <x:v>Provisões Fiscais Previdenciárias Trabalhistas e Cíveis</x:v>
      </x:c>
      <x:c r="C33" s="14" t="n">
        <x:v>138365</x:v>
      </x:c>
      <x:c r="D33" s="14" t="n">
        <x:v>98567</x:v>
      </x:c>
      <x:c r="E33" s="14" t="n">
        <x:f>C33-D33</x:f>
        <x:v>39798</x:v>
      </x:c>
      <x:c r="F33" s="16" t="n">
        <x:f>IFERROR(C33/D33-1,0)</x:f>
        <x:v>0.40376596629703654</x:v>
      </x:c>
      <x:c r="G33" s="16" t="n">
        <x:f>IFERROR(C33/$C$5,0)</x:f>
        <x:v>0.004123703781898167</x:v>
      </x:c>
      <x:c r="H33" s="16" t="n">
        <x:f>IFERROR(D33/$D$5,0)</x:f>
        <x:v>0.002708560341661061</x:v>
      </x:c>
    </x:row>
    <x:row r="34" ht="20" customHeight="1">
      <x:c r="A34" t="str">
        <x:v>2.03</x:v>
      </x:c>
      <x:c r="B34" t="str">
        <x:v>Patrimônio Líquido Consolidado</x:v>
      </x:c>
      <x:c r="C34" s="14" t="n">
        <x:v>6680808</x:v>
      </x:c>
      <x:c r="D34" s="14" t="n">
        <x:v>10269114</x:v>
      </x:c>
      <x:c r="E34" s="14" t="n">
        <x:f>C34-D34</x:f>
        <x:v>-3588306</x:v>
      </x:c>
      <x:c r="F34" s="16" t="n">
        <x:f>IFERROR(C34/D34-1,0)</x:f>
        <x:v>-0.3494270294399303</x:v>
      </x:c>
      <x:c r="G34" s="16" t="n">
        <x:f>IFERROR(C34/$C$5,0)</x:f>
        <x:v>0.1991086851135441</x:v>
      </x:c>
      <x:c r="H34" s="16" t="n">
        <x:f>IFERROR(D34/$D$5,0)</x:f>
        <x:v>0.28218891641620814</x:v>
      </x:c>
    </x:row>
    <x:row r="35" ht="20" customHeight="1">
      <x:c r="A35" t="str">
        <x:v>2.03.01</x:v>
      </x:c>
      <x:c r="B35" t="str">
        <x:v>Capital Social Realizado</x:v>
      </x:c>
      <x:c r="C35" s="14" t="n">
        <x:v>7473980</x:v>
      </x:c>
      <x:c r="D35" s="14" t="n">
        <x:v>7473980</x:v>
      </x:c>
      <x:c r="E35" s="14" t="n">
        <x:f>C35-D35</x:f>
        <x:v>0</x:v>
      </x:c>
      <x:c r="F35" s="16" t="n">
        <x:f>IFERROR(C35/D35-1,0)</x:f>
        <x:v>0</x:v>
      </x:c>
      <x:c r="G35" s="16" t="n">
        <x:f>IFERROR(C35/$C$5,0)</x:f>
        <x:v>0.2227476572242349</x:v>
      </x:c>
      <x:c r="H35" s="16" t="n">
        <x:f>IFERROR(D35/$D$5,0)</x:f>
        <x:v>0.20538035876477864</x:v>
      </x:c>
    </x:row>
    <x:row r="36" ht="20" customHeight="1">
      <x:c r="A36" t="str">
        <x:v>2.03.02</x:v>
      </x:c>
      <x:c r="B36" t="str">
        <x:v>Reservas de Capital</x:v>
      </x:c>
      <x:c r="C36" s="14" t="n">
        <x:v>-2224036</x:v>
      </x:c>
      <x:c r="D36" s="14" t="n">
        <x:v>127042</x:v>
      </x:c>
      <x:c r="E36" s="14" t="n">
        <x:f>C36-D36</x:f>
        <x:v>-2351078</x:v>
      </x:c>
      <x:c r="F36" s="16" t="n">
        <x:f>IFERROR(C36/D36-1,0)</x:f>
        <x:v>-18.50630500149557</x:v>
      </x:c>
      <x:c r="G36" s="16" t="n">
        <x:f>IFERROR(C36/$C$5,0)</x:f>
        <x:v>-0.06628313275956832</x:v>
      </x:c>
      <x:c r="H36" s="16" t="n">
        <x:f>IFERROR(D36/$D$5,0)</x:f>
        <x:v>0.0034910357718638545</x:v>
      </x:c>
    </x:row>
    <x:row r="37" ht="20" customHeight="1">
      <x:c r="A37" t="str">
        <x:v>2.03.04</x:v>
      </x:c>
      <x:c r="B37" t="str">
        <x:v>Reservas de Lucros</x:v>
      </x:c>
      <x:c r="C37" s="14" t="n">
        <x:v>1494796</x:v>
      </x:c>
      <x:c r="D37" s="14" t="n">
        <x:v>3240661</x:v>
      </x:c>
      <x:c r="E37" s="14" t="n">
        <x:f>C37-D37</x:f>
        <x:v>-1745865</x:v>
      </x:c>
      <x:c r="F37" s="16" t="n">
        <x:f>IFERROR(C37/D37-1,0)</x:f>
        <x:v>-0.5387373131592598</x:v>
      </x:c>
      <x:c r="G37" s="16" t="n">
        <x:f>IFERROR(C37/$C$5,0)</x:f>
        <x:v>0.044549531444846975</x:v>
      </x:c>
      <x:c r="H37" s="16" t="n">
        <x:f>IFERROR(D37/$D$5,0)</x:f>
        <x:v>0.08905136470997063</x:v>
      </x:c>
    </x:row>
    <x:row r="38" ht="20" customHeight="1">
      <x:c r="A38" t="str">
        <x:v>2.03.04.01</x:v>
      </x:c>
      <x:c r="B38" t="str">
        <x:v>Reserva Legal</x:v>
      </x:c>
      <x:c r="C38" s="14" t="n">
        <x:v>1494796</x:v>
      </x:c>
      <x:c r="D38" s="14" t="n">
        <x:v>1492518</x:v>
      </x:c>
      <x:c r="E38" s="14" t="n">
        <x:f>C38-D38</x:f>
        <x:v>2278</x:v>
      </x:c>
      <x:c r="F38" s="16" t="n">
        <x:f>IFERROR(C38/D38-1,0)</x:f>
        <x:v>0.0015262797500599223</x:v>
      </x:c>
      <x:c r="G38" s="16" t="n">
        <x:f>IFERROR(C38/$C$5,0)</x:f>
        <x:v>0.044549531444846975</x:v>
      </x:c>
      <x:c r="H38" s="16" t="n">
        <x:f>IFERROR(D38/$D$5,0)</x:f>
        <x:v>0.04101347371853951</x:v>
      </x:c>
    </x:row>
    <x:row r="39" ht="20" customHeight="1">
      <x:c r="A39" t="str">
        <x:v>2.03.04.09</x:v>
      </x:c>
      <x:c r="B39" t="str">
        <x:v>Ações em Tesouraria</x:v>
      </x:c>
      <x:c r="C39" s="14" t="n">
        <x:v>-324341</x:v>
      </x:c>
      <x:c r="D39" s="14" t="n">
        <x:v>-324341</x:v>
      </x:c>
      <x:c r="E39" s="14" t="n">
        <x:f>C39-D39</x:f>
        <x:v>0</x:v>
      </x:c>
      <x:c r="F39" s="16" t="n">
        <x:f>IFERROR(C39/D39-1,0)</x:f>
        <x:v>0</x:v>
      </x:c>
      <x:c r="G39" s="16" t="n">
        <x:f>IFERROR(C39/$C$5,0)</x:f>
        <x:v>-0.009666362218224502</x:v>
      </x:c>
      <x:c r="H39" s="16" t="n">
        <x:f>IFERROR(D39/$D$5,0)</x:f>
        <x:v>-0.008912690553376791</x:v>
      </x:c>
    </x:row>
    <x:row r="40" ht="20" customHeight="1">
      <x:c r="A40" t="str">
        <x:v>2.03.04.10</x:v>
      </x:c>
      <x:c r="B40" t="str">
        <x:v>Reserva de Investimentos</x:v>
      </x:c>
      <x:c r="C40" s="14" t="n">
        <x:v>324341</x:v>
      </x:c>
      <x:c r="D40" s="14" t="n">
        <x:v>2072484</x:v>
      </x:c>
      <x:c r="E40" s="14" t="n">
        <x:f>C40-D40</x:f>
        <x:v>-1748143</x:v>
      </x:c>
      <x:c r="F40" s="16" t="n">
        <x:f>IFERROR(C40/D40-1,0)</x:f>
        <x:v>-0.8435013249800722</x:v>
      </x:c>
      <x:c r="G40" s="16" t="n">
        <x:f>IFERROR(C40/$C$5,0)</x:f>
        <x:v>0.009666362218224502</x:v>
      </x:c>
      <x:c r="H40" s="16" t="n">
        <x:f>IFERROR(D40/$D$5,0)</x:f>
        <x:v>0.05695058154480792</x:v>
      </x:c>
    </x:row>
    <x:row r="41" ht="20" customHeight="1">
      <x:c r="A41" t="str">
        <x:v>2.03.08</x:v>
      </x:c>
      <x:c r="B41" t="str">
        <x:v>Outros Resultados Abrangentes</x:v>
      </x:c>
      <x:c r="C41" s="14" t="n">
        <x:v>-64614</x:v>
      </x:c>
      <x:c r="D41" s="14" t="n">
        <x:v>-572569</x:v>
      </x:c>
      <x:c r="E41" s="14" t="n">
        <x:f>C41-D41</x:f>
        <x:v>507955</x:v>
      </x:c>
      <x:c r="F41" s="16" t="n">
        <x:f>IFERROR(C41/D41-1,0)</x:f>
        <x:v>-0.8871507189526503</x:v>
      </x:c>
      <x:c r="G41" s="16" t="n">
        <x:f>IFERROR(C41/$C$5,0)</x:f>
        <x:v>-0.001925696499574084</x:v>
      </x:c>
      <x:c r="H41" s="16" t="n">
        <x:f>IFERROR(D41/$D$5,0)</x:f>
        <x:v>-0.015733842830405024</x:v>
      </x:c>
    </x:row>
    <x:row r="42" ht="20" customHeight="1">
      <x:c r="A42" t="str">
        <x:v>2.03.09</x:v>
      </x:c>
      <x:c r="B42" t="str">
        <x:v>Participação dos Acionistas Não Controladores</x:v>
      </x:c>
      <x:c r="C42" s="14" t="n">
        <x:v>682</x:v>
      </x:c>
      <x:c r="D42" s="14" t="n">
        <x:v>0</x:v>
      </x:c>
      <x:c r="E42" s="14" t="n">
        <x:f>C42-D42</x:f>
        <x:v>682</x:v>
      </x:c>
      <x:c r="F42" s="16" t="n">
        <x:f>IFERROR(C42/D42-1,0)</x:f>
        <x:v>0</x:v>
      </x:c>
      <x:c r="G42" s="16" t="n">
        <x:f>IFERROR(C42/$C$5,0)</x:f>
        <x:v>0.00002032570360462942</x:v>
      </x:c>
      <x:c r="H42" s="16" t="n">
        <x:f>IFERROR(D42/$D$5,0)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7" hidden="0" customWidth="1"/>
    <x:col min="3" max="3" width="20" hidden="0" customWidth="1"/>
    <x:col min="4" max="4" width="20" hidden="0" customWidth="1"/>
    <x:col min="5" max="5" width="21" hidden="0" customWidth="1"/>
    <x:col min="6" max="6" width="16" hidden="0" customWidth="1"/>
    <x:col min="7" max="7" width="18" hidden="0" customWidth="1"/>
    <x:col min="8" max="8" width="18" hidden="0" customWidth="1"/>
  </x:cols>
  <x:sheetData>
    <x:row r="1" ht="32" customHeight="1">
      <x:c r="A1" s="3" t="str">
        <x:v>DRE CONSOLIDADA</x:v>
      </x:c>
      <x:c r="B1" s="3"/>
      <x:c r="C1" s="3"/>
      <x:c r="D1" s="3"/>
      <x:c r="E1" s="3"/>
      <x:c r="F1" s="3"/>
      <x:c r="G1" s="3"/>
      <x:c r="H1" s="3"/>
    </x:row>
    <x:row r="2" ht="25" customHeight="1">
      <x:c r="A2" s="7" t="str">
        <x:v>DFP 2025.pdf, CSN Mineração S.A., versão 2, 31/12/2025 | página PDF 14 | R$ mil</x:v>
      </x:c>
      <x:c r="B2" s="7"/>
      <x:c r="C2" s="7"/>
      <x:c r="D2" s="7"/>
      <x:c r="E2" s="7"/>
      <x:c r="F2" s="7"/>
      <x:c r="G2" s="7"/>
      <x:c r="H2" s="7"/>
    </x:row>
    <x:row r="4" ht="26" customHeight="1">
      <x:c r="A4" s="11" t="str">
        <x:v>Código</x:v>
      </x:c>
      <x:c r="B4" s="11" t="str">
        <x:v>Conta</x:v>
      </x:c>
      <x:c r="C4" s="11" t="str">
        <x:v>2025</x:v>
      </x:c>
      <x:c r="D4" s="11" t="str">
        <x:v>2024</x:v>
      </x:c>
      <x:c r="E4" s="11" t="str">
        <x:v>Variação R$ mil</x:v>
      </x:c>
      <x:c r="F4" s="11" t="str">
        <x:v>AH %</x:v>
      </x:c>
      <x:c r="G4" s="11" t="str">
        <x:v>AV 2025 %</x:v>
      </x:c>
      <x:c r="H4" s="11" t="str">
        <x:v>AV 2024 %</x:v>
      </x:c>
    </x:row>
    <x:row r="5" ht="20" customHeight="1">
      <x:c r="A5" t="str">
        <x:v>3.01</x:v>
      </x:c>
      <x:c r="B5" t="str">
        <x:v>Receita de Venda de Bens e/ou Serviços</x:v>
      </x:c>
      <x:c r="C5" s="14" t="n">
        <x:v>18025121</x:v>
      </x:c>
      <x:c r="D5" s="14" t="n">
        <x:v>16496317</x:v>
      </x:c>
      <x:c r="E5" s="14" t="n">
        <x:f>C5-D5</x:f>
        <x:v>1528804</x:v>
      </x:c>
      <x:c r="F5" s="16" t="n">
        <x:f>IFERROR(C5/D5-1,0)</x:f>
        <x:v>0.09267547416796118</x:v>
      </x:c>
      <x:c r="G5" s="16" t="n">
        <x:f>IFERROR(C5/$C$5,0)</x:f>
        <x:v>1</x:v>
      </x:c>
      <x:c r="H5" s="16" t="n">
        <x:f>IFERROR(D5/$D$5,0)</x:f>
        <x:v>1</x:v>
      </x:c>
    </x:row>
    <x:row r="6" ht="20" customHeight="1">
      <x:c r="A6" t="str">
        <x:v>3.02</x:v>
      </x:c>
      <x:c r="B6" t="str">
        <x:v>Custo dos Bens e/ou Serviços Vendidos</x:v>
      </x:c>
      <x:c r="C6" s="14" t="n">
        <x:v>-9850577</x:v>
      </x:c>
      <x:c r="D6" s="14" t="n">
        <x:v>-8025027</x:v>
      </x:c>
      <x:c r="E6" s="14" t="n">
        <x:f>C6-D6</x:f>
        <x:v>-1825550</x:v>
      </x:c>
      <x:c r="F6" s="16" t="n">
        <x:f>IFERROR(C6/D6-1,0)</x:f>
        <x:v>0.227482100683275</x:v>
      </x:c>
      <x:c r="G6" s="16" t="n">
        <x:f>IFERROR(C6/$C$5,0)</x:f>
        <x:v>-0.5464915880453729</x:v>
      </x:c>
      <x:c r="H6" s="16" t="n">
        <x:f>IFERROR(D6/$D$5,0)</x:f>
        <x:v>-0.48647385958938594</x:v>
      </x:c>
    </x:row>
    <x:row r="7" ht="20" customHeight="1">
      <x:c r="A7" t="str">
        <x:v>3.03</x:v>
      </x:c>
      <x:c r="B7" t="str">
        <x:v>Resultado Bruto</x:v>
      </x:c>
      <x:c r="C7" s="14" t="n">
        <x:v>8174544</x:v>
      </x:c>
      <x:c r="D7" s="14" t="n">
        <x:v>8471290</x:v>
      </x:c>
      <x:c r="E7" s="14" t="n">
        <x:f>C7-D7</x:f>
        <x:v>-296746</x:v>
      </x:c>
      <x:c r="F7" s="16" t="n">
        <x:f>IFERROR(C7/D7-1,0)</x:f>
        <x:v>-0.03502961178285713</x:v>
      </x:c>
      <x:c r="G7" s="16" t="n">
        <x:f>IFERROR(C7/$C$5,0)</x:f>
        <x:v>0.4535084119546271</x:v>
      </x:c>
      <x:c r="H7" s="16" t="n">
        <x:f>IFERROR(D7/$D$5,0)</x:f>
        <x:v>0.5135261404106141</x:v>
      </x:c>
    </x:row>
    <x:row r="8" ht="20" customHeight="1">
      <x:c r="A8" t="str">
        <x:v>3.04</x:v>
      </x:c>
      <x:c r="B8" t="str">
        <x:v>Despesas/Receitas Operacionais</x:v>
      </x:c>
      <x:c r="C8" s="14" t="n">
        <x:v>-3163401</x:v>
      </x:c>
      <x:c r="D8" s="14" t="n">
        <x:v>-3503982</x:v>
      </x:c>
      <x:c r="E8" s="14" t="n">
        <x:f>C8-D8</x:f>
        <x:v>340581</x:v>
      </x:c>
      <x:c r="F8" s="16" t="n">
        <x:f>IFERROR(C8/D8-1,0)</x:f>
        <x:v>-0.09719827327880104</x:v>
      </x:c>
      <x:c r="G8" s="16" t="n">
        <x:f>IFERROR(C8/$C$5,0)</x:f>
        <x:v>-0.175499570848928</x:v>
      </x:c>
      <x:c r="H8" s="16" t="n">
        <x:f>IFERROR(D8/$D$5,0)</x:f>
        <x:v>-0.212409957931822</x:v>
      </x:c>
    </x:row>
    <x:row r="9" ht="20" customHeight="1">
      <x:c r="A9" t="str">
        <x:v>3.04.01</x:v>
      </x:c>
      <x:c r="B9" t="str">
        <x:v>Despesas com Vendas</x:v>
      </x:c>
      <x:c r="C9" s="14" t="n">
        <x:v>-2812475</x:v>
      </x:c>
      <x:c r="D9" s="14" t="n">
        <x:v>-3537738</x:v>
      </x:c>
      <x:c r="E9" s="14" t="n">
        <x:f>C9-D9</x:f>
        <x:v>725263</x:v>
      </x:c>
      <x:c r="F9" s="16" t="n">
        <x:f>IFERROR(C9/D9-1,0)</x:f>
        <x:v>-0.20500755002207627</x:v>
      </x:c>
      <x:c r="G9" s="16" t="n">
        <x:f>IFERROR(C9/$C$5,0)</x:f>
        <x:v>-0.1560308527193798</x:v>
      </x:c>
      <x:c r="H9" s="16" t="n">
        <x:f>IFERROR(D9/$D$5,0)</x:f>
        <x:v>-0.21445623286700904</x:v>
      </x:c>
    </x:row>
    <x:row r="10" ht="20" customHeight="1">
      <x:c r="A10" t="str">
        <x:v>3.04.02</x:v>
      </x:c>
      <x:c r="B10" t="str">
        <x:v>Despesas Gerais e Administrativas</x:v>
      </x:c>
      <x:c r="C10" s="14" t="n">
        <x:v>-183810</x:v>
      </x:c>
      <x:c r="D10" s="14" t="n">
        <x:v>-182052</x:v>
      </x:c>
      <x:c r="E10" s="14" t="n">
        <x:f>C10-D10</x:f>
        <x:v>-1758</x:v>
      </x:c>
      <x:c r="F10" s="16" t="n">
        <x:f>IFERROR(C10/D10-1,0)</x:f>
        <x:v>0.009656581636016126</x:v>
      </x:c>
      <x:c r="G10" s="16" t="n">
        <x:f>IFERROR(C10/$C$5,0)</x:f>
        <x:v>-0.01019743501305761</x:v>
      </x:c>
      <x:c r="H10" s="16" t="n">
        <x:f>IFERROR(D10/$D$5,0)</x:f>
        <x:v>-0.011035917896097655</x:v>
      </x:c>
    </x:row>
    <x:row r="11" ht="20" customHeight="1">
      <x:c r="A11" t="str">
        <x:v>3.04.04</x:v>
      </x:c>
      <x:c r="B11" t="str">
        <x:v>Outras Receitas Operacionais</x:v>
      </x:c>
      <x:c r="C11" s="14" t="n">
        <x:v>70501</x:v>
      </x:c>
      <x:c r="D11" s="14" t="n">
        <x:v>449434</x:v>
      </x:c>
      <x:c r="E11" s="14" t="n">
        <x:f>C11-D11</x:f>
        <x:v>-378933</x:v>
      </x:c>
      <x:c r="F11" s="16" t="n">
        <x:f>IFERROR(C11/D11-1,0)</x:f>
        <x:v>-0.8431338083011076</x:v>
      </x:c>
      <x:c r="G11" s="16" t="n">
        <x:f>IFERROR(C11/$C$5,0)</x:f>
        <x:v>0.003911263619256703</x:v>
      </x:c>
      <x:c r="H11" s="16" t="n">
        <x:f>IFERROR(D11/$D$5,0)</x:f>
        <x:v>0.027244505546298606</x:v>
      </x:c>
    </x:row>
    <x:row r="12" ht="20" customHeight="1">
      <x:c r="A12" t="str">
        <x:v>3.04.05</x:v>
      </x:c>
      <x:c r="B12" t="str">
        <x:v>Outras Despesas Operacionais</x:v>
      </x:c>
      <x:c r="C12" s="14" t="n">
        <x:v>-463719</x:v>
      </x:c>
      <x:c r="D12" s="14" t="n">
        <x:v>-415604</x:v>
      </x:c>
      <x:c r="E12" s="14" t="n">
        <x:f>C12-D12</x:f>
        <x:v>-48115</x:v>
      </x:c>
      <x:c r="F12" s="16" t="n">
        <x:f>IFERROR(C12/D12-1,0)</x:f>
        <x:v>0.1157712630292298</x:v>
      </x:c>
      <x:c r="G12" s="16" t="n">
        <x:f>IFERROR(C12/$C$5,0)</x:f>
        <x:v>-0.02572626280844384</x:v>
      </x:c>
      <x:c r="H12" s="16" t="n">
        <x:f>IFERROR(D12/$D$5,0)</x:f>
        <x:v>-0.025193744761330666</x:v>
      </x:c>
    </x:row>
    <x:row r="13" ht="20" customHeight="1">
      <x:c r="A13" t="str">
        <x:v>3.04.06</x:v>
      </x:c>
      <x:c r="B13" t="str">
        <x:v>Resultado de Equivalência Patrimonial</x:v>
      </x:c>
      <x:c r="C13" s="14" t="n">
        <x:v>226102</x:v>
      </x:c>
      <x:c r="D13" s="14" t="n">
        <x:v>181978</x:v>
      </x:c>
      <x:c r="E13" s="14" t="n">
        <x:f>C13-D13</x:f>
        <x:v>44124</x:v>
      </x:c>
      <x:c r="F13" s="16" t="n">
        <x:f>IFERROR(C13/D13-1,0)</x:f>
        <x:v>0.2424688698633901</x:v>
      </x:c>
      <x:c r="G13" s="16" t="n">
        <x:f>IFERROR(C13/$C$5,0)</x:f>
        <x:v>0.012543716072696543</x:v>
      </x:c>
      <x:c r="H13" s="16" t="n">
        <x:f>IFERROR(D13/$D$5,0)</x:f>
        <x:v>0.011031432046316762</x:v>
      </x:c>
    </x:row>
    <x:row r="14" ht="20" customHeight="1">
      <x:c r="A14" t="str">
        <x:v>3.05</x:v>
      </x:c>
      <x:c r="B14" t="str">
        <x:v>Resultado Antes do Resultado Financeiro e dos Tributos</x:v>
      </x:c>
      <x:c r="C14" s="14" t="n">
        <x:v>5011143</x:v>
      </x:c>
      <x:c r="D14" s="14" t="n">
        <x:v>4967308</x:v>
      </x:c>
      <x:c r="E14" s="14" t="n">
        <x:f>C14-D14</x:f>
        <x:v>43835</x:v>
      </x:c>
      <x:c r="F14" s="16" t="n">
        <x:f>IFERROR(C14/D14-1,0)</x:f>
        <x:v>0.008824699414652803</x:v>
      </x:c>
      <x:c r="G14" s="16" t="n">
        <x:f>IFERROR(C14/$C$5,0)</x:f>
        <x:v>0.2780088411056991</x:v>
      </x:c>
      <x:c r="H14" s="16" t="n">
        <x:f>IFERROR(D14/$D$5,0)</x:f>
        <x:v>0.30111618247879207</x:v>
      </x:c>
    </x:row>
    <x:row r="15" ht="20" customHeight="1">
      <x:c r="A15" t="str">
        <x:v>3.06</x:v>
      </x:c>
      <x:c r="B15" t="str">
        <x:v>Resultado Financeiro</x:v>
      </x:c>
      <x:c r="C15" s="14" t="n">
        <x:v>-2562802</x:v>
      </x:c>
      <x:c r="D15" s="14" t="n">
        <x:v>781817</x:v>
      </x:c>
      <x:c r="E15" s="14" t="n">
        <x:f>C15-D15</x:f>
        <x:v>-3344619</x:v>
      </x:c>
      <x:c r="F15" s="16" t="n">
        <x:f>IFERROR(C15/D15-1,0)</x:f>
        <x:v>-4.2780075132671715</x:v>
      </x:c>
      <x:c r="G15" s="16" t="n">
        <x:f>IFERROR(C15/$C$5,0)</x:f>
        <x:v>-0.14217946165243495</x:v>
      </x:c>
      <x:c r="H15" s="16" t="n">
        <x:f>IFERROR(D15/$D$5,0)</x:f>
        <x:v>0.04739342727228144</x:v>
      </x:c>
    </x:row>
    <x:row r="16" ht="20" customHeight="1">
      <x:c r="A16" t="str">
        <x:v>3.06.01</x:v>
      </x:c>
      <x:c r="B16" t="str">
        <x:v>Receitas Financeiras</x:v>
      </x:c>
      <x:c r="C16" s="14" t="n">
        <x:v>787202</x:v>
      </x:c>
      <x:c r="D16" s="14" t="n">
        <x:v>719778</x:v>
      </x:c>
      <x:c r="E16" s="14" t="n">
        <x:f>C16-D16</x:f>
        <x:v>67424</x:v>
      </x:c>
      <x:c r="F16" s="16" t="n">
        <x:f>IFERROR(C16/D16-1,0)</x:f>
        <x:v>0.09367332705361942</x:v>
      </x:c>
      <x:c r="G16" s="16" t="n">
        <x:f>IFERROR(C16/$C$5,0)</x:f>
        <x:v>0.043672494625694884</x:v>
      </x:c>
      <x:c r="H16" s="16" t="n">
        <x:f>IFERROR(D16/$D$5,0)</x:f>
        <x:v>0.043632648426918566</x:v>
      </x:c>
    </x:row>
    <x:row r="17" ht="20" customHeight="1">
      <x:c r="A17" t="str">
        <x:v>3.06.02</x:v>
      </x:c>
      <x:c r="B17" t="str">
        <x:v>Despesas Financeiras</x:v>
      </x:c>
      <x:c r="C17" s="14" t="n">
        <x:v>-3350004</x:v>
      </x:c>
      <x:c r="D17" s="14" t="n">
        <x:v>62039</x:v>
      </x:c>
      <x:c r="E17" s="14" t="n">
        <x:f>C17-D17</x:f>
        <x:v>-3412043</x:v>
      </x:c>
      <x:c r="F17" s="16" t="n">
        <x:f>IFERROR(C17/D17-1,0)</x:f>
        <x:v>-54.99835587291865</x:v>
      </x:c>
      <x:c r="G17" s="16" t="n">
        <x:f>IFERROR(C17/$C$5,0)</x:f>
        <x:v>-0.18585195627812984</x:v>
      </x:c>
      <x:c r="H17" s="16" t="n">
        <x:f>IFERROR(D17/$D$5,0)</x:f>
        <x:v>0.003760778845362877</x:v>
      </x:c>
    </x:row>
    <x:row r="18" ht="20" customHeight="1">
      <x:c r="A18" t="str">
        <x:v>3.06.02.01</x:v>
      </x:c>
      <x:c r="B18" t="str">
        <x:v>Despesas financeiras</x:v>
      </x:c>
      <x:c r="C18" s="14" t="n">
        <x:v>-1627447</x:v>
      </x:c>
      <x:c r="D18" s="14" t="n">
        <x:v>-1592016</x:v>
      </x:c>
      <x:c r="E18" s="14" t="n">
        <x:f>C18-D18</x:f>
        <x:v>-35431</x:v>
      </x:c>
      <x:c r="F18" s="16" t="n">
        <x:f>IFERROR(C18/D18-1,0)</x:f>
        <x:v>0.022255429593672327</x:v>
      </x:c>
      <x:c r="G18" s="16" t="n">
        <x:f>IFERROR(C18/$C$5,0)</x:f>
        <x:v>-0.09028771568301816</x:v>
      </x:c>
      <x:c r="H18" s="16" t="n">
        <x:f>IFERROR(D18/$D$5,0)</x:f>
        <x:v>-0.09650735979431045</x:v>
      </x:c>
    </x:row>
    <x:row r="19" ht="20" customHeight="1">
      <x:c r="A19" t="str">
        <x:v>3.06.02.02</x:v>
      </x:c>
      <x:c r="B19" t="str">
        <x:v>Variações monetárias cambiais liquidas</x:v>
      </x:c>
      <x:c r="C19" s="14" t="n">
        <x:v>-1722557</x:v>
      </x:c>
      <x:c r="D19" s="14" t="n">
        <x:v>1654055</x:v>
      </x:c>
      <x:c r="E19" s="14" t="n">
        <x:f>C19-D19</x:f>
        <x:v>-3376612</x:v>
      </x:c>
      <x:c r="F19" s="16" t="n">
        <x:f>IFERROR(C19/D19-1,0)</x:f>
        <x:v>-2.0414145841583258</x:v>
      </x:c>
      <x:c r="G19" s="16" t="n">
        <x:f>IFERROR(C19/$C$5,0)</x:f>
        <x:v>-0.09556424059511168</x:v>
      </x:c>
      <x:c r="H19" s="16" t="n">
        <x:f>IFERROR(D19/$D$5,0)</x:f>
        <x:v>0.10026813863967333</x:v>
      </x:c>
    </x:row>
    <x:row r="20" ht="20" customHeight="1">
      <x:c r="A20" t="str">
        <x:v>3.07</x:v>
      </x:c>
      <x:c r="B20" t="str">
        <x:v>Resultado Antes dos Tributos sobre o Lucro</x:v>
      </x:c>
      <x:c r="C20" s="14" t="n">
        <x:v>2448341</x:v>
      </x:c>
      <x:c r="D20" s="14" t="n">
        <x:v>5749125</x:v>
      </x:c>
      <x:c r="E20" s="14" t="n">
        <x:f>C20-D20</x:f>
        <x:v>-3300784</x:v>
      </x:c>
      <x:c r="F20" s="16" t="n">
        <x:f>IFERROR(C20/D20-1,0)</x:f>
        <x:v>-0.5741367599417302</x:v>
      </x:c>
      <x:c r="G20" s="16" t="n">
        <x:f>IFERROR(C20/$C$5,0)</x:f>
        <x:v>0.13582937945326415</x:v>
      </x:c>
      <x:c r="H20" s="16" t="n">
        <x:f>IFERROR(D20/$D$5,0)</x:f>
        <x:v>0.34850960975107353</x:v>
      </x:c>
    </x:row>
    <x:row r="21" ht="20" customHeight="1">
      <x:c r="A21" t="str">
        <x:v>3.08</x:v>
      </x:c>
      <x:c r="B21" t="str">
        <x:v>Imposto de Renda e Contribuição Social sobre o Lucro</x:v>
      </x:c>
      <x:c r="C21" s="14" t="n">
        <x:v>-799182</x:v>
      </x:c>
      <x:c r="D21" s="14" t="n">
        <x:v>-1221407</x:v>
      </x:c>
      <x:c r="E21" s="14" t="n">
        <x:f>C21-D21</x:f>
        <x:v>422225</x:v>
      </x:c>
      <x:c r="F21" s="16" t="n">
        <x:f>IFERROR(C21/D21-1,0)</x:f>
        <x:v>-0.3456873916720634</x:v>
      </x:c>
      <x:c r="G21" s="16" t="n">
        <x:f>IFERROR(C21/$C$5,0)</x:f>
        <x:v>-0.044337122619038175</x:v>
      </x:c>
      <x:c r="H21" s="16" t="n">
        <x:f>IFERROR(D21/$D$5,0)</x:f>
        <x:v>-0.07404119355853794</x:v>
      </x:c>
    </x:row>
    <x:row r="22" ht="20" customHeight="1">
      <x:c r="A22" t="str">
        <x:v>3.08.01</x:v>
      </x:c>
      <x:c r="B22" t="str">
        <x:v>Corrente</x:v>
      </x:c>
      <x:c r="C22" s="14" t="n">
        <x:v>-788670</x:v>
      </x:c>
      <x:c r="D22" s="14" t="n">
        <x:v>-1261060</x:v>
      </x:c>
      <x:c r="E22" s="14" t="n">
        <x:f>C22-D22</x:f>
        <x:v>472390</x:v>
      </x:c>
      <x:c r="F22" s="16" t="n">
        <x:f>IFERROR(C22/D22-1,0)</x:f>
        <x:v>-0.3745975607821991</x:v>
      </x:c>
      <x:c r="G22" s="16" t="n">
        <x:f>IFERROR(C22/$C$5,0)</x:f>
        <x:v>-0.043753936520037784</x:v>
      </x:c>
      <x:c r="H22" s="16" t="n">
        <x:f>IFERROR(D22/$D$5,0)</x:f>
        <x:v>-0.0764449422255889</x:v>
      </x:c>
    </x:row>
    <x:row r="23" ht="20" customHeight="1">
      <x:c r="A23" t="str">
        <x:v>3.08.02</x:v>
      </x:c>
      <x:c r="B23" t="str">
        <x:v>Diferido</x:v>
      </x:c>
      <x:c r="C23" s="14" t="n">
        <x:v>-10512</x:v>
      </x:c>
      <x:c r="D23" s="14" t="n">
        <x:v>39653</x:v>
      </x:c>
      <x:c r="E23" s="14" t="n">
        <x:f>C23-D23</x:f>
        <x:v>-50165</x:v>
      </x:c>
      <x:c r="F23" s="16" t="n">
        <x:f>IFERROR(C23/D23-1,0)</x:f>
        <x:v>-1.2650997402466397</x:v>
      </x:c>
      <x:c r="G23" s="16" t="n">
        <x:f>IFERROR(C23/$C$5,0)</x:f>
        <x:v>-0.0005831860990003896</x:v>
      </x:c>
      <x:c r="H23" s="16" t="n">
        <x:f>IFERROR(D23/$D$5,0)</x:f>
        <x:v>0.0024037486670509547</x:v>
      </x:c>
    </x:row>
    <x:row r="24" ht="20" customHeight="1">
      <x:c r="A24" t="str">
        <x:v>3.09</x:v>
      </x:c>
      <x:c r="B24" t="str">
        <x:v>Resultado Líquido das Operações Continuadas</x:v>
      </x:c>
      <x:c r="C24" s="14" t="n">
        <x:v>1649159</x:v>
      </x:c>
      <x:c r="D24" s="14" t="n">
        <x:v>4527718</x:v>
      </x:c>
      <x:c r="E24" s="14" t="n">
        <x:f>C24-D24</x:f>
        <x:v>-2878559</x:v>
      </x:c>
      <x:c r="F24" s="16" t="n">
        <x:f>IFERROR(C24/D24-1,0)</x:f>
        <x:v>-0.6357637556049206</x:v>
      </x:c>
      <x:c r="G24" s="16" t="n">
        <x:f>IFERROR(C24/$C$5,0)</x:f>
        <x:v>0.09149225683422597</x:v>
      </x:c>
      <x:c r="H24" s="16" t="n">
        <x:f>IFERROR(D24/$D$5,0)</x:f>
        <x:v>0.2744684161925356</x:v>
      </x:c>
    </x:row>
    <x:row r="25" ht="20" customHeight="1">
      <x:c r="A25" t="str">
        <x:v>3.11</x:v>
      </x:c>
      <x:c r="B25" t="str">
        <x:v>Lucro/Prejuízo Consolidado do Período</x:v>
      </x:c>
      <x:c r="C25" s="14" t="n">
        <x:v>1649159</x:v>
      </x:c>
      <x:c r="D25" s="14" t="n">
        <x:v>4527718</x:v>
      </x:c>
      <x:c r="E25" s="14" t="n">
        <x:f>C25-D25</x:f>
        <x:v>-2878559</x:v>
      </x:c>
      <x:c r="F25" s="16" t="n">
        <x:f>IFERROR(C25/D25-1,0)</x:f>
        <x:v>-0.6357637556049206</x:v>
      </x:c>
      <x:c r="G25" s="16" t="n">
        <x:f>IFERROR(C25/$C$5,0)</x:f>
        <x:v>0.09149225683422597</x:v>
      </x:c>
      <x:c r="H25" s="16" t="n">
        <x:f>IFERROR(D25/$D$5,0)</x:f>
        <x:v>0.2744684161925356</x:v>
      </x:c>
    </x:row>
    <x:row r="26" ht="20" customHeight="1">
      <x:c r="A26" t="str">
        <x:v>3.11.01</x:v>
      </x:c>
      <x:c r="B26" t="str">
        <x:v>Atribuído a Sócios da Empresa Controladora</x:v>
      </x:c>
      <x:c r="C26" s="14" t="n">
        <x:v>1649647</x:v>
      </x:c>
      <x:c r="D26" s="14" t="n">
        <x:v>0</x:v>
      </x:c>
      <x:c r="E26" s="14" t="n">
        <x:f>C26-D26</x:f>
        <x:v>1649647</x:v>
      </x:c>
      <x:c r="F26" s="16" t="n">
        <x:f>IFERROR(C26/D26-1,0)</x:f>
        <x:v>0</x:v>
      </x:c>
      <x:c r="G26" s="16" t="n">
        <x:f>IFERROR(C26/$C$5,0)</x:f>
        <x:v>0.09151933016150073</x:v>
      </x:c>
      <x:c r="H26" s="16" t="n">
        <x:f>IFERROR(D26/$D$5,0)</x:f>
        <x:v>0</x:v>
      </x:c>
    </x:row>
    <x:row r="27" ht="20" customHeight="1">
      <x:c r="A27" t="str">
        <x:v>3.11.02</x:v>
      </x:c>
      <x:c r="B27" t="str">
        <x:v>Atribuído a Sócios Não Controladores</x:v>
      </x:c>
      <x:c r="C27" s="14" t="n">
        <x:v>-488</x:v>
      </x:c>
      <x:c r="D27" s="14" t="n">
        <x:v>0</x:v>
      </x:c>
      <x:c r="E27" s="14" t="n">
        <x:f>C27-D27</x:f>
        <x:v>-488</x:v>
      </x:c>
      <x:c r="F27" s="16" t="n">
        <x:f>IFERROR(C27/D27-1,0)</x:f>
        <x:v>0</x:v>
      </x:c>
      <x:c r="G27" s="16" t="n">
        <x:f>IFERROR(C27/$C$5,0)</x:f>
        <x:v>-0.00002707332727475172</x:v>
      </x:c>
      <x:c r="H27" s="16" t="n">
        <x:f>IFERROR(D27/$D$5,0)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23" hidden="0" customWidth="1"/>
    <x:col min="3" max="3" width="23" hidden="0" customWidth="1"/>
    <x:col min="4" max="4" width="23" hidden="0" customWidth="1"/>
    <x:col min="5" max="5" width="20" hidden="0" customWidth="1"/>
    <x:col min="6" max="6" width="36" hidden="0" customWidth="1"/>
  </x:cols>
  <x:sheetData>
    <x:row r="1" ht="32" customHeight="1">
      <x:c r="A1" s="3" t="str">
        <x:v>SELEÇÃO DA CONTA MATERIAL | ATIVO CONSOLIDADO</x:v>
      </x:c>
      <x:c r="B1" s="3"/>
      <x:c r="C1" s="3"/>
      <x:c r="D1" s="3"/>
      <x:c r="E1" s="3"/>
      <x:c r="F1" s="3"/>
    </x:row>
    <x:row r="2" ht="25" customHeight="1">
      <x:c r="A2" s="7" t="str">
        <x:v>Não somar subtotais com contas componentes; ranking das rubricas principais</x:v>
      </x:c>
      <x:c r="B2" s="7"/>
      <x:c r="C2" s="7"/>
      <x:c r="D2" s="7"/>
      <x:c r="E2" s="7"/>
      <x:c r="F2" s="7"/>
    </x:row>
    <x:row r="4" ht="26" customHeight="1">
      <x:c r="A4" s="11" t="str">
        <x:v>Rubrica</x:v>
      </x:c>
      <x:c r="B4" s="11" t="str">
        <x:v>2025 (R$ mil)</x:v>
      </x:c>
      <x:c r="C4" s="11" t="str">
        <x:v>2024 (R$ mil)</x:v>
      </x:c>
      <x:c r="D4" s="11" t="str">
        <x:v>% do ativo 2025</x:v>
      </x:c>
      <x:c r="E4" s="11" t="str">
        <x:v>Variação %</x:v>
      </x:c>
      <x:c r="F4" s="11" t="str">
        <x:v>Fonte / código</x:v>
      </x:c>
    </x:row>
    <x:row r="5">
      <x:c r="A5" t="str">
        <x:v>Imobilizado</x:v>
      </x:c>
      <x:c r="B5" s="18" t="n">
        <x:v>10994169</x:v>
      </x:c>
      <x:c r="C5" s="18" t="n">
        <x:v>9704951</x:v>
      </x:c>
      <x:c r="D5" s="20" t="n">
        <x:f>B5/33553574</x:f>
        <x:v>0.327660147321415</x:v>
      </x:c>
      <x:c r="E5" s="20" t="n">
        <x:f>IFERROR(B5/C5-1,0)</x:f>
        <x:v>0.13284126833819143</x:v>
      </x:c>
      <x:c r="F5" t="str">
        <x:v>DFP p.12 • 1.02.03</x:v>
      </x:c>
    </x:row>
    <x:row r="6">
      <x:c r="A6" t="str">
        <x:v>Caixa e equivalentes</x:v>
      </x:c>
      <x:c r="B6" s="18" t="n">
        <x:v>8871892</x:v>
      </x:c>
      <x:c r="C6" s="18" t="n">
        <x:v>15185928</x:v>
      </x:c>
      <x:c r="D6" s="20" t="n">
        <x:f>B6/33553574</x:f>
        <x:v>0.2644097466338459</x:v>
      </x:c>
      <x:c r="E6" s="20" t="n">
        <x:f>IFERROR(B6/C6-1,0)</x:f>
        <x:v>-0.4157820318916302</x:v>
      </x:c>
      <x:c r="F6" t="str">
        <x:v>DFP p.12 • 1.01.01</x:v>
      </x:c>
    </x:row>
    <x:row r="7">
      <x:c r="A7" t="str">
        <x:v>Intangível</x:v>
      </x:c>
      <x:c r="B7" s="18" t="n">
        <x:v>4331504</x:v>
      </x:c>
      <x:c r="C7" s="18" t="n">
        <x:v>4356721</x:v>
      </x:c>
      <x:c r="D7" s="20" t="n">
        <x:f>B7/33553574</x:f>
        <x:v>0.12909217956930608</x:v>
      </x:c>
      <x:c r="E7" s="20" t="n">
        <x:f>IFERROR(B7/C7-1,0)</x:f>
        <x:v>-0.005788068595624973</x:v>
      </x:c>
      <x:c r="F7" t="str">
        <x:v>DFP p.12 • 1.02.04</x:v>
      </x:c>
    </x:row>
    <x:row r="8">
      <x:c r="A8" t="str">
        <x:v>Investimentos</x:v>
      </x:c>
      <x:c r="B8" s="18" t="n">
        <x:v>3061007</x:v>
      </x:c>
      <x:c r="C8" s="18" t="n">
        <x:v>1774066</x:v>
      </x:c>
      <x:c r="D8" s="20" t="n">
        <x:f>B8/33553574</x:f>
        <x:v>0.09122745016670951</x:v>
      </x:c>
      <x:c r="E8" s="20" t="n">
        <x:f>IFERROR(B8/C8-1,0)</x:f>
        <x:v>0.7254188964784851</x:v>
      </x:c>
      <x:c r="F8" t="str">
        <x:v>DFP p.12 • 1.02.02</x:v>
      </x:c>
    </x:row>
    <x:row r="9">
      <x:c r="A9" t="str">
        <x:v>Estoques de longo prazo</x:v>
      </x:c>
      <x:c r="B9" s="18" t="n">
        <x:v>2073526</x:v>
      </x:c>
      <x:c r="C9" s="18" t="n">
        <x:v>1761172</x:v>
      </x:c>
      <x:c r="D9" s="20" t="n">
        <x:f>B9/33553574</x:f>
        <x:v>0.061797470516851645</x:v>
      </x:c>
      <x:c r="E9" s="20" t="n">
        <x:f>IFERROR(B9/C9-1,0)</x:f>
        <x:v>0.1773557608229066</x:v>
      </x:c>
      <x:c r="F9" t="str">
        <x:v>DFP p.12 • 1.02.01.05</x:v>
      </x:c>
    </x:row>
    <x:row r="10">
      <x:c r="A10" t="str">
        <x:v>Contas a receber</x:v>
      </x:c>
      <x:c r="B10" s="18" t="n">
        <x:v>1914795</x:v>
      </x:c>
      <x:c r="C10" s="18" t="n">
        <x:v>1506580</x:v>
      </x:c>
      <x:c r="D10" s="20" t="n">
        <x:f>B10/33553574</x:f>
        <x:v>0.05706679711675424</x:v>
      </x:c>
      <x:c r="E10" s="20" t="n">
        <x:f>IFERROR(B10/C10-1,0)</x:f>
        <x:v>0.2709547451844576</x:v>
      </x:c>
      <x:c r="F10" t="str">
        <x:v>DFP p.12 • 1.01.03</x:v>
      </x:c>
    </x:row>
    <x:row r="11">
      <x:c r="A11" t="str">
        <x:v>Estoques circulantes</x:v>
      </x:c>
      <x:c r="B11" s="18" t="n">
        <x:v>825422</x:v>
      </x:c>
      <x:c r="C11" s="18" t="n">
        <x:v>777848</x:v>
      </x:c>
      <x:c r="D11" s="20" t="n">
        <x:f>B11/33553574</x:f>
        <x:v>0.02460012158466338</x:v>
      </x:c>
      <x:c r="E11" s="20" t="n">
        <x:f>IFERROR(B11/C11-1,0)</x:f>
        <x:v>0.06116104945953449</x:v>
      </x:c>
      <x:c r="F11" t="str">
        <x:v>DFP p.12 • 1.01.04</x:v>
      </x:c>
    </x:row>
    <x:row r="14">
      <x:c r="A14" t="str">
        <x:v>Ativo consolidado 2025</x:v>
      </x:c>
      <x:c r="B14" t="n">
        <x:v>33553574</x:v>
      </x:c>
    </x:row>
    <x:row r="15">
      <x:c r="A15" t="str">
        <x:v>Imobilizado 2025</x:v>
      </x:c>
      <x:c r="B15" t="n">
        <x:v>10994169</x:v>
      </x:c>
    </x:row>
    <x:row r="16">
      <x:c r="A16" t="str">
        <x:v>Imobilizado / Ativo</x:v>
      </x:c>
      <x:c r="B16" s="20" t="n">
        <x:f>B15/B14</x:f>
        <x:v>0.327660147321415</x:v>
      </x:c>
    </x:row>
    <x:row r="17">
      <x:c r="A17" t="str">
        <x:v>Diferença imobilizado 2025–2024</x:v>
      </x:c>
      <x:c r="B17" t="n">
        <x:f>B5-C5</x:f>
        <x:v>1289218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54" hidden="0" customWidth="1"/>
    <x:col min="3" max="3" width="54" hidden="0" customWidth="1"/>
    <x:col min="4" max="4" width="60" hidden="0" customWidth="1"/>
    <x:col min="5" max="5" width="27" hidden="0" customWidth="1"/>
    <x:col min="6" max="6" width="16" hidden="0" customWidth="1"/>
  </x:cols>
  <x:sheetData>
    <x:row r="1" ht="32" customHeight="1">
      <x:c r="A1" s="3" t="str">
        <x:v>HIPÓTESES DE RISCO | NÃO SÃO ACHADOS</x:v>
      </x:c>
      <x:c r="B1" s="3"/>
      <x:c r="C1" s="3"/>
      <x:c r="D1" s="3"/>
      <x:c r="E1" s="3"/>
      <x:c r="F1" s="3"/>
    </x:row>
    <x:row r="2" ht="25" customHeight="1">
      <x:c r="A2" s="7" t="str">
        <x:v>Identificação preliminar para direcionar procedimentos; sem conclusão sobre irregularidades</x:v>
      </x:c>
      <x:c r="B2" s="7"/>
      <x:c r="C2" s="7"/>
      <x:c r="D2" s="7"/>
      <x:c r="E2" s="7"/>
      <x:c r="F2" s="7"/>
    </x:row>
    <x:row r="4" ht="26" customHeight="1">
      <x:c r="A4" s="11" t="str">
        <x:v>Área</x:v>
      </x:c>
      <x:c r="B4" s="11" t="str">
        <x:v>Indício público</x:v>
      </x:c>
      <x:c r="C4" s="11" t="str">
        <x:v>Risco / afirmação</x:v>
      </x:c>
      <x:c r="D4" s="11" t="str">
        <x:v>Procedimento futuro</x:v>
      </x:c>
      <x:c r="E4" s="11" t="str">
        <x:v>Natureza</x:v>
      </x:c>
      <x:c r="F4" s="11" t="str">
        <x:v>Prioridade</x:v>
      </x:c>
    </x:row>
    <x:row r="5">
      <x:c r="A5" t="str">
        <x:v>Imobilizado</x:v>
      </x:c>
      <x:c r="B5" t="str">
        <x:v>R$ 10.994.169 mil; alta de R$ 1.289.218 mil</x:v>
      </x:c>
      <x:c r="C5" t="str">
        <x:v>Existência, mensuração, classificação, depreciação e impairment</x:v>
      </x:c>
      <x:c r="D5" t="str">
        <x:v>Inspecionar razão patrimonial; conciliar adições, baixas e depreciação; amostrar ativos</x:v>
      </x:c>
      <x:c r="E5" t="str">
        <x:v>Planejado, sem acesso</x:v>
      </x:c>
      <x:c r="F5" t="str">
        <x:v>Alta</x:v>
      </x:c>
    </x:row>
    <x:row r="6">
      <x:c r="A6" t="str">
        <x:v>Imobilizado em andamento</x:v>
      </x:c>
      <x:c r="B6" t="str">
        <x:v>R$ 3.976.536 mil (2024: R$ 2.491.005 mil)</x:v>
      </x:c>
      <x:c r="C6" t="str">
        <x:v>Capitalização indevida, projetos paralisados, transferência para operação</x:v>
      </x:c>
      <x:c r="D6" t="str">
        <x:v>Inspecionar projetos, notas fiscais, aprovações e início de uso</x:v>
      </x:c>
      <x:c r="E6" t="str">
        <x:v>Planejado, sem acesso</x:v>
      </x:c>
      <x:c r="F6" t="str">
        <x:v>Alta</x:v>
      </x:c>
    </x:row>
    <x:row r="7">
      <x:c r="A7" t="str">
        <x:v>Caixa e equivalentes</x:v>
      </x:c>
      <x:c r="B7" t="str">
        <x:v>R$ 8.871.892 mil; queda ante 2024</x:v>
      </x:c>
      <x:c r="C7" t="str">
        <x:v>Existência e direitos sobre recursos</x:v>
      </x:c>
      <x:c r="D7" t="str">
        <x:v>Confirmar saldos com bancos e conciliar extratos</x:v>
      </x:c>
      <x:c r="E7" t="str">
        <x:v>Planejado, sem acesso</x:v>
      </x:c>
      <x:c r="F7" t="str">
        <x:v>Alta</x:v>
      </x:c>
    </x:row>
    <x:row r="8">
      <x:c r="A8" t="str">
        <x:v>Adiantamentos de clientes</x:v>
      </x:c>
      <x:c r="B8" t="str">
        <x:v>R$ 8.128.989 mil no passivo não circulante</x:v>
      </x:c>
      <x:c r="C8" t="str">
        <x:v>Reconhecimento, apresentação e obrigações contratuais</x:v>
      </x:c>
      <x:c r="D8" t="str">
        <x:v>Inspecionar contratos e reconciliações; verificar reconhecimento</x:v>
      </x:c>
      <x:c r="E8" t="str">
        <x:v>Planejado, sem acesso</x:v>
      </x:c>
      <x:c r="F8" t="str">
        <x:v>Alta</x:v>
      </x:c>
    </x:row>
    <x:row r="9">
      <x:c r="A9" t="str">
        <x:v>Resultado financeiro</x:v>
      </x:c>
      <x:c r="B9" t="str">
        <x:v>Despesa líquida consolidada de R$ 2.562.802 mil</x:v>
      </x:c>
      <x:c r="C9" t="str">
        <x:v>Mensuração de câmbio, juros e hedge</x:v>
      </x:c>
      <x:c r="D9" t="str">
        <x:v>Recalcular instrumentos e testar documentos suporte</x:v>
      </x:c>
      <x:c r="E9" t="str">
        <x:v>Planejado, sem acesso</x:v>
      </x:c>
      <x:c r="F9" t="str">
        <x:v>Alta</x:v>
      </x:c>
    </x:row>
    <x:row r="10">
      <x:c r="A10" t="str">
        <x:v>Receita e contas a receber</x:v>
      </x:c>
      <x:c r="B10" t="str">
        <x:v>Receita consolidada R$ 18.025.121 mil</x:v>
      </x:c>
      <x:c r="C10" t="str">
        <x:v>Ocorrência, competência e recuperabilidade</x:v>
      </x:c>
      <x:c r="D10" t="str">
        <x:v>Testes de corte, confirmações e recebimentos subsequentes</x:v>
      </x:c>
      <x:c r="E10" t="str">
        <x:v>Planejado, sem acesso</x:v>
      </x:c>
      <x:c r="F10" t="str">
        <x:v>Média/alta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65" hidden="0" customWidth="1"/>
    <x:col min="3" max="3" width="24" hidden="0" customWidth="1"/>
    <x:col min="4" max="4" width="55" hidden="0" customWidth="1"/>
    <x:col min="5" max="5" width="68" hidden="0" customWidth="1"/>
  </x:cols>
  <x:sheetData>
    <x:row r="1" ht="32" customHeight="1">
      <x:c r="A1" s="3" t="str">
        <x:v>PLANO DE EXECUÇÃO E ENTREGÁVEIS</x:v>
      </x:c>
      <x:c r="B1" s="3"/>
      <x:c r="C1" s="3"/>
      <x:c r="D1" s="3"/>
      <x:c r="E1" s="3"/>
    </x:row>
    <x:row r="2" ht="25" customHeight="1">
      <x:c r="A2" s="7" t="str">
        <x:v>Acompanhamento: distinguir conclusão documental de teste de auditoria</x:v>
      </x:c>
      <x:c r="B2" s="7"/>
      <x:c r="C2" s="7"/>
      <x:c r="D2" s="7"/>
      <x:c r="E2" s="7"/>
    </x:row>
    <x:row r="4" ht="26" customHeight="1">
      <x:c r="A4" s="11" t="str">
        <x:v>Etapa</x:v>
      </x:c>
      <x:c r="B4" s="11" t="str">
        <x:v>Entrega</x:v>
      </x:c>
      <x:c r="C4" s="11" t="str">
        <x:v>Estado</x:v>
      </x:c>
      <x:c r="D4" s="11" t="str">
        <x:v>Evidência</x:v>
      </x:c>
      <x:c r="E4" s="11" t="str">
        <x:v>Próxima ação</x:v>
      </x:c>
    </x:row>
    <x:row r="5">
      <x:c r="A5" t="str">
        <x:v>01</x:v>
      </x:c>
      <x:c r="B5" t="str">
        <x:v>Fonte correta CMIN3 DFP 2025</x:v>
      </x:c>
      <x:c r="C5" t="str">
        <x:v>Concluído</x:v>
      </x:c>
      <x:c r="D5" t="str">
        <x:v>DFP 2025 versão 2</x:v>
      </x:c>
      <x:c r="E5" t="str">
        <x:v>Preservar cópia e metadados</x:v>
      </x:c>
    </x:row>
    <x:row r="6">
      <x:c r="A6" t="str">
        <x:v>02</x:v>
      </x:c>
      <x:c r="B6" t="str">
        <x:v>Balanços e DRE individual/consolidado 2024–25</x:v>
      </x:c>
      <x:c r="C6" t="str">
        <x:v>Base extraída</x:v>
      </x:c>
      <x:c r="D6" t="str">
        <x:v>DFP páginas 3–5 e 12–14</x:v>
      </x:c>
      <x:c r="E6" t="str">
        <x:v>Revisar rubricas e notas relevantes</x:v>
      </x:c>
    </x:row>
    <x:row r="7">
      <x:c r="A7" t="str">
        <x:v>03</x:v>
      </x:c>
      <x:c r="B7" t="str">
        <x:v>Análises AH e AV</x:v>
      </x:c>
      <x:c r="C7" t="str">
        <x:v>Planilha preparada</x:v>
      </x:c>
      <x:c r="D7" t="str">
        <x:v>Fórmulas nas abas contábeis</x:v>
      </x:c>
      <x:c r="E7" t="str">
        <x:v>Interpretar mudanças materiais</x:v>
      </x:c>
    </x:row>
    <x:row r="8">
      <x:c r="A8" t="str">
        <x:v>04</x:v>
      </x:c>
      <x:c r="B8" t="str">
        <x:v>Materialidade e estratégia</x:v>
      </x:c>
      <x:c r="C8" t="str">
        <x:v>Pendente</x:v>
      </x:c>
      <x:c r="D8" t="str">
        <x:v>A definir e justificar</x:v>
      </x:c>
      <x:c r="E8" t="str">
        <x:v>Definir benchmark e percentuais</x:v>
      </x:c>
    </x:row>
    <x:row r="9">
      <x:c r="A9" t="str">
        <x:v>05</x:v>
      </x:c>
      <x:c r="B9" t="str">
        <x:v>Matriz de riscos e 6 programas</x:v>
      </x:c>
      <x:c r="C9" t="str">
        <x:v>Pendente</x:v>
      </x:c>
      <x:c r="D9" t="str">
        <x:v>Riscos preliminares nesta pasta</x:v>
      </x:c>
      <x:c r="E9" t="str">
        <x:v>Relacionar riscos, afirmações e procedimentos</x:v>
      </x:c>
    </x:row>
    <x:row r="10">
      <x:c r="A10" t="str">
        <x:v>06</x:v>
      </x:c>
      <x:c r="B10" t="str">
        <x:v>Base sintética ≥500.000 registros</x:v>
      </x:c>
      <x:c r="C10" t="str">
        <x:v>Pendente</x:v>
      </x:c>
      <x:c r="D10" t="str">
        <x:v>Conta foco: imobilizado</x:v>
      </x:c>
      <x:c r="E10" t="str">
        <x:v>Gerar com código, dicionário e reconciliação</x:v>
      </x:c>
    </x:row>
    <x:row r="11">
      <x:c r="A11" t="str">
        <x:v>07</x:v>
      </x:c>
      <x:c r="B11" t="str">
        <x:v>28 papéis de trabalho e matriz NBC TA</x:v>
      </x:c>
      <x:c r="C11" t="str">
        <x:v>Pendente</x:v>
      </x:c>
      <x:c r="D11" t="str">
        <x:v>Enunciado acadêmico</x:v>
      </x:c>
      <x:c r="E11" t="str">
        <x:v>Mapear cada PT aos requisitos</x:v>
      </x:c>
    </x:row>
    <x:row r="12">
      <x:c r="A12" t="str">
        <x:v>08</x:v>
      </x:c>
      <x:c r="B12" t="str">
        <x:v>Relatório final PDF + README + GitHub</x:v>
      </x:c>
      <x:c r="C12" t="str">
        <x:v>Pendente</x:v>
      </x:c>
      <x:c r="D12" t="str">
        <x:v>Pacote final</x:v>
      </x:c>
      <x:c r="E12" t="str">
        <x:v>Integrar achados simulados e limitações</x:v>
      </x:c>
    </x:row>
  </x:sheetData>
  <x:mergeCells>
    <x:mergeCell ref="A1:E1"/>
    <x:mergeCell ref="A2:E2"/>
  </x:mergeCells>
  <x:pageMargins left="0.7" right="0.7" top="0.75" bottom="0.75" header="0.3" footer="0.3"/>
</x:worksheet>
</file>